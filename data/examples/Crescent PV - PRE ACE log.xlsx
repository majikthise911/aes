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24226"/>
  <mc:AlternateContent xmlns:mc="http://schemas.openxmlformats.org/markup-compatibility/2006">
    <mc:Choice Requires="x15">
      <x15ac:absPath xmlns:x15ac="http://schemas.microsoft.com/office/spreadsheetml/2010/11/ac" url="https://aescloud.sharepoint.com/teams/PJMEPCBidEvaluations/Shared Documents/EPC RFP Evaluations/RFP Year 2025/Felix v2/04 Primoris/Bid Evaluation/"/>
    </mc:Choice>
  </mc:AlternateContent>
  <xr:revisionPtr revIDLastSave="0" documentId="8_{04C7225B-F291-4C91-87CC-77F44F0FAA9F}" xr6:coauthVersionLast="47" xr6:coauthVersionMax="47" xr10:uidLastSave="{00000000-0000-0000-0000-000000000000}"/>
  <bookViews>
    <workbookView xWindow="0" yWindow="500" windowWidth="40960" windowHeight="22540" xr2:uid="{00000000-000D-0000-FFFF-FFFF00000000}"/>
  </bookViews>
  <sheets>
    <sheet name="Bid ACE" sheetId="2" r:id="rId1"/>
    <sheet name="Project Team" sheetId="4" r:id="rId2"/>
    <sheet name="Scope Categories" sheetId="3" r:id="rId3"/>
    <sheet name="8.08.2025 Changes" sheetId="5" r:id="rId4"/>
    <sheet name="Sheet1"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2" l="1"/>
  <c r="G10" i="2"/>
  <c r="G17" i="2"/>
  <c r="G11" i="2"/>
  <c r="G44" i="2"/>
  <c r="G54" i="2"/>
  <c r="E50" i="2"/>
  <c r="E37" i="2"/>
  <c r="E15" i="2" l="1"/>
  <c r="E52" i="2"/>
  <c r="E58" i="2"/>
  <c r="E12" i="2"/>
  <c r="E59" i="2"/>
  <c r="E57" i="2"/>
  <c r="E5" i="2"/>
  <c r="E60" i="2"/>
  <c r="E61" i="2"/>
  <c r="E62" i="2"/>
  <c r="E63" i="2"/>
  <c r="E64" i="2"/>
  <c r="E65" i="2"/>
  <c r="E66" i="2"/>
  <c r="E67" i="2"/>
  <c r="E68" i="2"/>
  <c r="E69" i="2"/>
  <c r="E53" i="2"/>
  <c r="E36" i="2"/>
  <c r="E18" i="2"/>
  <c r="E45" i="2"/>
  <c r="E46" i="2"/>
  <c r="E47" i="2"/>
  <c r="E48" i="2"/>
  <c r="E70" i="2"/>
  <c r="E49" i="2"/>
  <c r="E19" i="2"/>
  <c r="E71" i="2"/>
  <c r="E14" i="2"/>
  <c r="E3" i="2"/>
  <c r="E4" i="2"/>
  <c r="E72" i="2"/>
  <c r="E73" i="2"/>
  <c r="E74" i="2"/>
  <c r="E75" i="2"/>
  <c r="E38" i="2"/>
  <c r="E39" i="2"/>
  <c r="E20" i="2"/>
  <c r="E21" i="2"/>
  <c r="E76" i="2"/>
  <c r="E22" i="2"/>
  <c r="E77" i="2"/>
  <c r="E23" i="2"/>
  <c r="E78" i="2"/>
  <c r="E13" i="2"/>
  <c r="E79" i="2"/>
  <c r="E80" i="2"/>
  <c r="E56" i="2"/>
  <c r="E10" i="2"/>
  <c r="E54" i="2"/>
  <c r="E55" i="2"/>
  <c r="E81" i="2"/>
  <c r="E82" i="2"/>
  <c r="E83" i="2"/>
  <c r="E24" i="2"/>
  <c r="E25" i="2"/>
  <c r="E16" i="2"/>
  <c r="E7" i="2"/>
  <c r="E26" i="2"/>
  <c r="E84" i="2"/>
  <c r="E27" i="2"/>
  <c r="E40" i="2"/>
  <c r="E2" i="2"/>
  <c r="E85" i="2"/>
  <c r="E86" i="2"/>
  <c r="E87" i="2"/>
  <c r="E88" i="2"/>
  <c r="E89" i="2"/>
  <c r="E9" i="2"/>
  <c r="E28" i="2"/>
  <c r="E43" i="2"/>
  <c r="E44" i="2"/>
  <c r="E90" i="2"/>
  <c r="E41" i="2"/>
  <c r="E29" i="2"/>
  <c r="E30" i="2"/>
  <c r="E8" i="2"/>
  <c r="E31" i="2"/>
  <c r="E91" i="2"/>
  <c r="E32" i="2"/>
  <c r="E33" i="2"/>
  <c r="E92" i="2"/>
  <c r="E93" i="2"/>
  <c r="E11" i="2"/>
  <c r="E34" i="2"/>
  <c r="E35" i="2"/>
  <c r="E153" i="2"/>
  <c r="E154"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51" i="2"/>
  <c r="E155" i="2"/>
  <c r="E156" i="2"/>
  <c r="E157" i="2"/>
  <c r="E17" i="2"/>
</calcChain>
</file>

<file path=xl/sharedStrings.xml><?xml version="1.0" encoding="utf-8"?>
<sst xmlns="http://schemas.openxmlformats.org/spreadsheetml/2006/main" count="861" uniqueCount="426">
  <si>
    <t>ACE Item</t>
  </si>
  <si>
    <t>Scope</t>
  </si>
  <si>
    <t>Risk?</t>
  </si>
  <si>
    <t>AES SME</t>
  </si>
  <si>
    <t>Point Person</t>
  </si>
  <si>
    <t>Internal Note</t>
  </si>
  <si>
    <t>Response to EPC</t>
  </si>
  <si>
    <t>ACE Item 2025.08.08 Change Log</t>
  </si>
  <si>
    <t>7. 750 kcmil cable length mentioned in the client's 30% design is 164,678 LNFT less than PRE's calculated value( three phase). Our analysis is that the client has not considered, the parallel run lengths in the calculation.</t>
  </si>
  <si>
    <t>AC Electrical Systems</t>
  </si>
  <si>
    <t>Yes</t>
  </si>
  <si>
    <t>Development Engineer</t>
  </si>
  <si>
    <t>What quantity did PRE price?  This would be a ~50% increase to cable qty/cost</t>
  </si>
  <si>
    <t xml:space="preserve">if this is in referecne to DC cable, the westwood 30% shows one way length in the 30% design. </t>
  </si>
  <si>
    <t>Removed in 8/08: this discrepancy note does not appear.</t>
  </si>
  <si>
    <t>1. Base bid proposal pricing (based on 30%) includes cost for 1,080 silt fence rock outlets although the Westwood 30% drawings do not show these. Primoris assumed silt fence rock outlets would be used at intervals of 250 feet along silt fence.</t>
  </si>
  <si>
    <t>Civil Works</t>
  </si>
  <si>
    <t>TBD</t>
  </si>
  <si>
    <t>Removed in 8/08: not present.</t>
  </si>
  <si>
    <t xml:space="preserve">2. Base bid proposal pricing (based on 30%) does not include cost for fiber roll, rock check dams, or diversion swales since the Westwood 30% drawings do not show these. </t>
  </si>
  <si>
    <t>What additional erosion control scope above and beyond 30% drawings can we reasonably expect?  Suggest we push PRE to include what they see as necessary.</t>
  </si>
  <si>
    <t>1. Piles are assumed to be non coated (black steel) ranging from W6X12 up to W6X25, with tracker pile reveal height ranging from 5.25’ to 6’, with a max embedment depth of 9’.</t>
  </si>
  <si>
    <t>Procurement</t>
  </si>
  <si>
    <t>AES assumed 3 mil galv, Eng to determine whether black steel is viable.</t>
  </si>
  <si>
    <t>Max embedment 8' changed from 9', based on “Nextracker’s FT HailPro 60° stow” loads.</t>
  </si>
  <si>
    <t>1. Pricing for MET equipment includes design engineering, procurement, installation, and commissioning of the following equipment:
13 Zenith MET Stations:
    -1 GHI Pyranometer, 1 POA Pyranometer, 3 RPOA Pyranometers, 1 All-in-one Weather Sensor, 1 Rain Gauge, 1 Lightning Rod*, 4 Surge Arrestors* (1 per array pyranometer)
13 Eclipse Soiling Stations
5 Standalone Albedometers:
    -1 GHI Pyranometer, 1 RGHI Pyranometer
*Lightning rod and surge arrestors added at recommendation of MET vendor due to the project being located in an area of elevated lightning risk.</t>
  </si>
  <si>
    <t>Plant Controls and Communications</t>
  </si>
  <si>
    <t>SCADA Engineer</t>
  </si>
  <si>
    <t>Sam Desai</t>
  </si>
  <si>
    <t>Changed: counts reduced in 8/08 to 10 Zenith MET, 10 Eclipse soiling, 3 standalone albedometers.</t>
  </si>
  <si>
    <t>2. Ampacity values provided by the client's Ampacity report was used.</t>
  </si>
  <si>
    <t>No</t>
  </si>
  <si>
    <t>Changed: ampacity based on geotech thermal resistivity; trefoil configuration; spiderplow installation; 90% compaction.</t>
  </si>
  <si>
    <t>Assumption - A5 - Ampacity values provided by the client's Ampacity report was used.</t>
  </si>
  <si>
    <t>Detailed Design &amp; Construction Engineering - 30% to IFC</t>
  </si>
  <si>
    <t>2. SCADA proposal includes the latest exhibits for Crescent PV, which is different from BF2. 
Based on ask from AES to make suggestions for improvements we have come up with some items and possible approximate cost savings:
-Canary Historian ~$500K
-Cisco Firewalls ~ $20K
-1GB Field Network ~ $200K.</t>
  </si>
  <si>
    <t>Changed: 8/08 VE deltas reduced — Canary Historian ≈$400k and 1 GB Field Network ≈$150k (Cisco Firewalls ≈$20k unchanged).</t>
  </si>
  <si>
    <t>3. Price excludes module washing during or after installation.</t>
  </si>
  <si>
    <t>Solar PV Field Mechanical</t>
  </si>
  <si>
    <t>Execution PM</t>
  </si>
  <si>
    <t>Need to include mod washing.</t>
  </si>
  <si>
    <t>Changed: 8/08 adds a below-the-line one-time mobilization &amp; wash option</t>
  </si>
  <si>
    <t>Assumption - A12 - Primoris has assumed that the on-site water wells can be used for the dust mitigation purpose. Throughout the project duration, Primoris would require ~100 million gallons of water for backfill and dust control. Proposal assumes that the water can be purchased through the landowner at $0.50 per barrel of water. One barrel of water shall be defined as 37 gallons. We have assumed that there is at least one
well in East and one in West parcel within the project boundary and each well produces ~100k gallons per day.</t>
  </si>
  <si>
    <t>Developer</t>
  </si>
  <si>
    <t>Need to compare against landowner agreement to determine whether this cost assumption is adequate.  Is water supply adequate to 100M gallon need?</t>
  </si>
  <si>
    <t>Changed: ~80 million gallons in 8/08 (price and 37-gal barrel definition unchanged).</t>
  </si>
  <si>
    <t>2. An alternate price for procurement, installation and  commissiong of 153 SMA model SC4400 UP-US Inverters is offerred.  To meet the project schedule an accelerated Commissioning Schedule (50 calendar day duration) and a supply of commissionng spares is recommended.</t>
  </si>
  <si>
    <t>alternate now 116 SMA SC4400 UP-US with 40-day accelerated commissioning (was 153 units, 50 days).</t>
  </si>
  <si>
    <t>Base price includes 90% pre-drill. Adder for 100% pre-drill will be provded below the line.</t>
  </si>
  <si>
    <t>8/08 base includes 93% pre-drill in 8/08 (adder for 100% remains).</t>
  </si>
  <si>
    <t>5. Pricing for basins aligns with Westwood's 30% drawings which indicate all basins will be temporary converted to permanent. Price may change for basin reclamation if basins are to be temporary only.</t>
  </si>
  <si>
    <t>8/08 assumes all basins will be temporary; price may change if permanent basins are required.</t>
  </si>
  <si>
    <t>1. Assume average module delivery  rate of 30MW/week.</t>
  </si>
  <si>
    <t>Workable rate of delivery per ExPM</t>
  </si>
  <si>
    <t>Please propose range and max velocity.  AES will evaluate with Vendor.</t>
  </si>
  <si>
    <t>18 MW/week</t>
  </si>
  <si>
    <t>1. Power factor of 0.94 assumed for losses calculations</t>
  </si>
  <si>
    <t>1. Power factor of 0.92 assumed for losses calculations</t>
  </si>
  <si>
    <t>Exclusion - E1 - PPS has not included any rock drilling in this proposal.</t>
  </si>
  <si>
    <t>HV Engineer</t>
  </si>
  <si>
    <t>What is our internal assumption on transmission structure rock drilling?</t>
  </si>
  <si>
    <t>1. Assume there are no un-surveyed underground lines not included in the client-provided surveys.</t>
  </si>
  <si>
    <t xml:space="preserve">AES has done a lot of due dilligence, fair for them to exclude. </t>
  </si>
  <si>
    <t>3. The proposal does not include any allowance for rock, slurry, or cased/shored excavation. We are assuming dry, stable earth excavation for completion of all excavation activities pending being provided a geotechnical report.</t>
  </si>
  <si>
    <t>Do we need to consider rock in basin excavation?</t>
  </si>
  <si>
    <t>Not responsible for crop damage, livestock protection or drain tile repair/mitigation.</t>
  </si>
  <si>
    <t>Is there any indication of drain tile presence onsite?</t>
  </si>
  <si>
    <t xml:space="preserve">No drain tiles in irrigated portion, no crops in the field. May leave livestock as a risk. </t>
  </si>
  <si>
    <t xml:space="preserve">Includes 6' chain link fence with 1' 3 barbed wires and gates. </t>
  </si>
  <si>
    <t>Are there any requirements on fencing in site control agreement?  Alternately, do we want them to price ag fence.</t>
  </si>
  <si>
    <t>2. Provisions for discovery and/or removal of underground tanks, flow lines, pipes, and foundations are not included.</t>
  </si>
  <si>
    <t>Any demo scope of already identified underground infrastructure?</t>
  </si>
  <si>
    <t>4. Excludes removal of underground tanks, flow lines, pipes, and foundations.</t>
  </si>
  <si>
    <t xml:space="preserve">Native soil will be suitable for backfilling trenches. No costs have been included for imported or engineered backfill. </t>
  </si>
  <si>
    <t>DC Electrical Systems</t>
  </si>
  <si>
    <t>Price includes rough-in, grounding, and inverter installation. 
Lightning protection for PV Inverters is excluded.</t>
  </si>
  <si>
    <t>3. MV Rev C cables with concentric neutral size 18#14 AWG is assumed for 500kcmil, 750kcmil and 1000kcmil cables and CN size of 17#14 AWG for 4/0 cables. These sizes are bigger than the size mentioned in the client's 30% design.</t>
  </si>
  <si>
    <t>5. MVAC cable collection loss % assumed is 0.85.</t>
  </si>
  <si>
    <t>3. Back of module temperature sensors, as AES has informed PRE that neither the ISO or forthcoming PPAs shall require them.</t>
  </si>
  <si>
    <t>Assumption - A3 - Piles are assumed to be non coated (black steel) ranging from W6X12 up to W6X25, with tracker pile
reveal height ranging from 5.25’ to 6’, with a max embedment depth of 9’. The pile sizes are based on Nextracker's HailPro 60 degree stow top of pile loads.</t>
  </si>
  <si>
    <t>Assumption - A4 - Power factor of 0.94 assumed for losses calculations.</t>
  </si>
  <si>
    <t>Assumption - A6 - MV Rev C cables with concentric neutral size 18#14 AWG is assumed for 500kcmil, 750kcmil and
1000kcmil cables and CN size of 17#14 AWG for 4/0 cables. These sizes are bigger than the size mentioned in the client's 30% design.</t>
  </si>
  <si>
    <t>Assumption - A8 - Assumed T-line losses=0 for calculations.</t>
  </si>
  <si>
    <t>Assumption - A9 - MVAC cable collection loss % assumed is 0.85.</t>
  </si>
  <si>
    <t>Assumption - A14 - Native soil will be suitable for backfilling trenches. No costs have been included for imported or engineered backfill.</t>
  </si>
  <si>
    <t>Assumption - A16 - The proposal does not include any allowance for rock, slurry, or cased/shored excavation. We are assuming dry, stable earth excavation for completion of all excavation activities pending being provided a
geotechnical report.</t>
  </si>
  <si>
    <t>Bid has been prepared based on PRE’s experience in Texas and assumes the following: (1) any executed contract will be considered separated for Texas sales/use tax purposes and (2) AES will provide an executed Texas exemption certificate, Form 01-339. Sales tax has been included on all items consumed/used by the contractor, i.e. construction equipment, consumables, etc. Additionally, bid includes estimated sales tax due on tracker and piles. PRE will coordinate with AES to confirm any exemptions to be claimed, ensure Schedule of Values is separated for Texas sales/use tax purposes, and calculate estimated taxes due. Changes to SOV format and/or exemptions to be claimed may result in a change in Contract Price.</t>
  </si>
  <si>
    <t>Contractor General</t>
  </si>
  <si>
    <t>So long as we are including estimates of taxes due, regardless of exemption in the future</t>
  </si>
  <si>
    <t>1. Our schedule assume immprove of the joint Solar/oil well Access Roads can begin as soon as the RUA is approved (i.e. since the roads are already in place, a driveway permit will not be required)</t>
  </si>
  <si>
    <t>Please confirm this with Ben. Ben is point on RUA.</t>
  </si>
  <si>
    <t>2. Our schedule assumes the Wilbarger County Road Use Agreement (RUA) will be approved by Oct 1, 2025.</t>
  </si>
  <si>
    <t>3. Assume there will be no interference with Wind construction activites on the Access Roads included in the RUA.</t>
  </si>
  <si>
    <t>Wind gen-tie will enter the solar area of construction north of FM1763 - which is an access road to the west solar area.
In addition, the wind and solar gen tie's will be parallel and adjacent to each other north of FM 1763 going through a solar parcel and up to the SY/SB</t>
  </si>
  <si>
    <t xml:space="preserve"> The wind gen-tie will enter the solar construction area north of FM1763 (which is also the access road to the west solar area), and wind and solar gen-ties will run parallel/adjacent through a solar parcel up to the SY/SB. Please revise your bid to address potential access and schedule conflicts in this area, including any required coordination measures or cost impacts.</t>
  </si>
  <si>
    <t>6. Assume all powerlines, roads, and easements can be bored under.</t>
  </si>
  <si>
    <t>Within Reason.  We are not aware of any local regulation prohibiting boring.</t>
  </si>
  <si>
    <t>Assumption - A2 - Bid has been prepared based on PRE’s experience in Texas and assumes the following: (1) any executed contract will be considered separated for Texas sales/use tax purposes and (2) AES will provide an executed Texas exemption certificate, Form 01-339. Sales tax has been included on all items consumed/used by the contractor, i.e. construction equipment, consumables, etc. Additionally, bid includes estimated sales tax due on tracker and piles. PRE will coordinate with AES to confirm any exemptions to be claimed, ensure Schedule of Values is separated for Texas sales/use tax purposes,
and calculate estimated taxes due. Changes to SOV format and/or exemptions to be claimed may result in a change in Contract Price.</t>
  </si>
  <si>
    <t>Assumption - A13 - FM1763, CR 105S, and FM 2897S Roads are suitable for construction traffic and may be used for site access. Refer to the provided draft "Site Access Routes" for full breakdown of assumed lengths and maintenance plan. Price to be finalized with RUMA final approval. Primoris has also assumed there will
be no other construction traffic on these roads during our construction schedule.</t>
  </si>
  <si>
    <t>These are public county roads that will likely require additional upgrades or enhancements to adequately handle sustained heavy construction traffic.  Please refer to approved RUMA for potential requirements.
Since these roads are public county roads, it would be presumptive to assume that there will be no other construction traffic using these roads during the term of construction.  There are several other projects being developed in the area, as well as two in-service wind farms, that may require construction work during the development of the solar project.  Those projects may require the use of these roads for access.</t>
  </si>
  <si>
    <t>These are public county roads that may require upgrades or enhancements per the final RUMA, and they are likely to be used by other construction projects and existing wind farms during our construction period. Please revise your bid to account for potential road improvements and shared traffic conditions.</t>
  </si>
  <si>
    <t>1. Performance testing: Primoris agrees to an ASTM standard-based Capacity Test, which is the industry standard performance guarantee in the US. This is the same approach taken on Bellefield II. All performance testing shall be executed at the plant level, not at the circuit level.</t>
  </si>
  <si>
    <t>Contractor Testing &amp; Commissioning</t>
  </si>
  <si>
    <t>Execution Engineer</t>
  </si>
  <si>
    <t xml:space="preserve">We want plant level testing </t>
  </si>
  <si>
    <t>2. Contractor guarantees that the Capacity Test output will be equal to or greater than 97% of the Expected Capacity in accordance with certain criteria as will be more precisely detailed in an exhibit to the EPC Contract (the “Guaranteed Capacity”), the terms of which shall be subject to negotiation by the parties prior to the execution of the EPC Contract.</t>
  </si>
  <si>
    <t>AES to determine allowable guaranteed capacity</t>
  </si>
  <si>
    <t>2. The Crescent Archeological Study ("8._Crescent-Historical_-_Archaeological_Study-Final_04-22-2023.pdf") identifies two potential historical structures within the project area. However, it is unknown if the structures are extant and an aerial imagery search does not identify any visible structures. Therefore, Primoris has assumed these structures are no longer extant and do not require avoidance.</t>
  </si>
  <si>
    <t>Permitting</t>
  </si>
  <si>
    <t>Confirm what scope needs to be included re historical structures. ML Update: We are following an Unanticipated Discovieries Plan for historic resources. Will be created internally and shared with EPC prior to mobilization. Preliminary procedures are included in EPC RFP Exhibit C4.</t>
  </si>
  <si>
    <t>3. Assume the project lies outside of the tricolored bat range and that there are no tree clearing restrictions due to bats.</t>
  </si>
  <si>
    <t>Project is outside of bat range</t>
  </si>
  <si>
    <t>4. Assume tree clearing, chipping and spreading can start anytime.  Assume the SWPPP need to be inplace prior to stump removal.</t>
  </si>
  <si>
    <t>Project is outside of bat range.</t>
  </si>
  <si>
    <t>Texas Kangaroo Rat is not expected to occur in the project area. Primoris assumes no survey, mitigation and/or avoidance is required for this species.</t>
  </si>
  <si>
    <t>Project has been fully surveyed for TKR; they are confirmed absent. No further work needed. EPC to follow EPC RFP Exhibit C4 recommendations for avoidance if TKR are discovered onsite.</t>
  </si>
  <si>
    <t>2. Assume all soil spoils will be spread on-site.</t>
  </si>
  <si>
    <t>ML and CZ: This is fine, but we will need to ensure that this is managed in the EPC's EMP, Exhibits D-1.2, Exhibit C-4, and Exhibit B-1. EPC to follow VSMP-recommended soil spoil management practices. If not properly managed, we risk compaction and/or erosion concerns. VSMP will be amended to include BMPs for soil spoils. Please let us know if the Exhibits get redlined and they remove the requirement to do soil testing after grading (Exbibit B-1) or the requirement to follow our VSMP (Exhibit C-4).</t>
  </si>
  <si>
    <t>This is to be managed by the EPC to prevent compaction and erosion concerns.</t>
  </si>
  <si>
    <t>Assumption - A15 - All soil spoils will be spread on-site.</t>
  </si>
  <si>
    <t>Real Estate</t>
  </si>
  <si>
    <t>Assumption - A1 - PPS assumes ROW can be used as laydown area.</t>
  </si>
  <si>
    <t>ROW type matters (public county, utility, or private leased corridors).
Laydown areas are typically within LOD and on private land.
Environmental compliance, lease terms, and permitting could all limit or prohibit ROW laydown.
We already have designated laydown in the Westwood 30% design.</t>
  </si>
  <si>
    <t>Please identify the specific ROW(s) you are referring to (e.g., public county roads, utility easements, or private leased corridors). Use of ROW for laydown is subject to lease terms, environmental and permitting restrictions, and AES approval, and may not be permissible. Laydown should be limited to areas designated in the approved Westwood 30% design unless otherwise directed by AES. Revise your bid accordingly to reflect permitted laydown areas only.</t>
  </si>
  <si>
    <t>2. Primoris is requesting 0.4% of total modules for construction spares.</t>
  </si>
  <si>
    <t>Internal assumption is 5 spares per MW -0.27% - look into Longi historicals</t>
  </si>
  <si>
    <t>3. Per the exhibit D-8 and D-8.1, Primoris will provide a dedicate on-site staff to develop the social management plan, community engagement meetings, create risk mitigation (includes noise, dust, signage), job fair planning and participation, weekly/ monthly compliance updates, and owner-led social impact session. The cost associated with this will be provided as below the line allowance.</t>
  </si>
  <si>
    <t>Work with Execution PM to determine how much scope we want to include</t>
  </si>
  <si>
    <t xml:space="preserve">4. Scanning of each barcode on every module installed is excluded. </t>
  </si>
  <si>
    <t>Check against B-1 req, also check with Tax to determine if required</t>
  </si>
  <si>
    <t>5. Double handling of modules is not included.</t>
  </si>
  <si>
    <t>Confirm that double-handling as a result of contractor activities or schedule delay is included.</t>
  </si>
  <si>
    <t>2. Price excludes Hail protection of the PV modules when in the pallet or installed on the tracker (60 degree HailPro).</t>
  </si>
  <si>
    <t>Contract Manager</t>
  </si>
  <si>
    <t>I suggest to ask them to price it. However, it'll be our SME the one ultimately making the technical decision, and, based on the quoted price, Execution will make the final determination. This should be assiged to the Eng. Team first.</t>
  </si>
  <si>
    <t xml:space="preserve"> Please provide a price add for hail protection of the PV modules when in the pallet and when installed on the tracker (60° HailPro). Final determination on inclusion will be made by the Engineering and Execution teams based on your quoted price.</t>
  </si>
  <si>
    <t>The tracker design is using 60 degree stow which differs from the 30% Westwood design 75 degree. Domestic Content: 19.3 pts</t>
  </si>
  <si>
    <t>Estimator</t>
  </si>
  <si>
    <t>This is lower DC product from Nextracker, need to align on pricing for intended product.</t>
  </si>
  <si>
    <t>1. SMA 4400 (153 units) to be supplied by AES.</t>
  </si>
  <si>
    <t>3. The SMA Inverters offerred here include a  55 degree C ambient temperature option.</t>
  </si>
  <si>
    <t>2. Uncoated “black steel” foundation design will be included in the proposal.</t>
  </si>
  <si>
    <t xml:space="preserve">1. Pre-drill PLT's was not performed by ANS and pre-drill with an undersize hole will be required to confirm the driven pile design parameters. </t>
  </si>
  <si>
    <t xml:space="preserve">2. Additional PLT drivability testing will be required to confirm areas of pre-drill for driven pile install.  </t>
  </si>
  <si>
    <t>3. Includes additional PLTs and supplemental Geotech studies.</t>
  </si>
  <si>
    <t>4. An additional corrosion study will be provided by JDH corrosion, based on the corrosion potential in the geotech report.</t>
  </si>
  <si>
    <t xml:space="preserve">1. Price includes Engineering services for Electrical, Civil, and Structural through IFC. </t>
  </si>
  <si>
    <t>2. Max design temperature at the site used is 42.1C according to ASHRAE.</t>
  </si>
  <si>
    <t>3. SCAN station used to obtain soil temperature and moisture value - 2202 Vernon</t>
  </si>
  <si>
    <t>1. Construction spares have been included for the PV plant construction.</t>
  </si>
  <si>
    <t xml:space="preserve">2. Per the exhibit P, no O&amp;M spares are included. The Parties shall enter into a Change Order to amend the Contract Price to include such elected Spare Parts post Notice to Proceed. </t>
  </si>
  <si>
    <t xml:space="preserve">1. Primoris has included 520,000 cubic yards of cut and 520,000 cubic yards of fill  has been carried per the table on PV-C.02.01. Primoris has assumed that all material will be cut to fill on site and each parcel will be balanced. </t>
  </si>
  <si>
    <t xml:space="preserve">4. All dirt work is full machine excavation. </t>
  </si>
  <si>
    <t>3. Proposal pricing include cost for third party SWPPP inspections.</t>
  </si>
  <si>
    <t>4. The project schedule dictates we start construction work on the East side of the project and the west side at the same time.  Consequently we will not be following the SWPPP staging plan described in the 30 design, drawing PV-C.01.05r1.</t>
  </si>
  <si>
    <t>2. We have included installation and maintenance of the Switchyard/Substation Access Road in our scope.  Depending on the construction schedule for the switchyard,the road may be built before our schedule dictates (Mar'26)</t>
  </si>
  <si>
    <t xml:space="preserve">1. FM1763, CR 105S, and FM 2897S Roads are suitable for construction traffic and may be used for site access.Refer to the provided draft "Site Access Routes" for full breakdown of assumed legths and maintanance plan. Price to be finalized with RUMA final approval. Primoris has also assumed there will be no other construction traffic on these roads during our construction schedule. </t>
  </si>
  <si>
    <t xml:space="preserve">1. Removal and disposal of existing and/or non-project generated refuse or debris beyond what's described in the 30% design. </t>
  </si>
  <si>
    <t>3. Excludes temporary or permanent relocation of existing utilities beyond what's described in the 30% design.</t>
  </si>
  <si>
    <t>Includes O&amp;M building for 725MWdc size project per the O&amp;M Specs 'O&amp;M_Portable_Facility_Parameters' provided by AES.</t>
  </si>
  <si>
    <t>Tracker row lengths are based on module dimensions from the provided module data sheet Hi-Mo 545W (2278 x 1134 x 30 mm).</t>
  </si>
  <si>
    <t>1. Modules considered are LR5-78HBD-545M (Hi-Mo 545W). Modules will be procured and delivered to site by Owner. Primoris will be responsible for 
offloading, Staging, and Installation of modules.</t>
  </si>
  <si>
    <t>Price includes Shoals DC Collection System.
Installation of PV string wiring is included in 'Furnish &amp; Install PV Wire Harnessing &amp; Combiner Box Disconnects' bid item.</t>
  </si>
  <si>
    <t xml:space="preserve">Includes purchase &amp; install of Harness, Trunk Bus, LBDs, Splice Boxes. </t>
  </si>
  <si>
    <t xml:space="preserve">Includes purchase and imstall of cable management system. </t>
  </si>
  <si>
    <t>4. Ground cable size assumed in the design is 7#7AWG which is equivalent to the  client mentioned 1/0 Cu.</t>
  </si>
  <si>
    <t>1. Pricing is based on client provided 30% design drawings.</t>
  </si>
  <si>
    <t>2. Assumed MVOH losses=0 for calculations.</t>
  </si>
  <si>
    <t xml:space="preserve">3. 30% MV OH design does not include part numbers or material quantities so estimated quantities were used to determine pricing. </t>
  </si>
  <si>
    <t>4. We have assumed a total of 330,500lbs for the steel poles.</t>
  </si>
  <si>
    <t>5. We have assumed a total of 1,015CY of concrete for the drilled piers.</t>
  </si>
  <si>
    <t>Assumption - A1 - Tariffs are not included in the base price SOV. The estimated tariffs through mid-July, 2025 have been presented below the line for each procurement category.</t>
  </si>
  <si>
    <t>Assumption - A7 - Ground cable size assumed in the design is 7#7AWG which is equivalent to the client mentioned 1/0 Cu.</t>
  </si>
  <si>
    <t>Assumption - A10 - Max design temperature at the site used is 42.1C according to ASHRAE.</t>
  </si>
  <si>
    <t>Assumption - A11 - SCAN station used to obtain soil temperature and moisture value - 2202 Vernon.</t>
  </si>
  <si>
    <t>Assumption - A19 - Assume there are no un-surveyed underground lines not included in the client-provided surveys.</t>
  </si>
  <si>
    <t>Duplicate (stated in both SOV and proposal letter)</t>
  </si>
  <si>
    <t>Assumption - A20 - The Crescent Archeological Study ("8._Crescent-Historical_-_Archaeological_Study-Final_04-22- 2023.pdf") identifies two potential historical structures within the project area. However, it is unknown if the structures are extant and an aerial imagery search does not identify any visible structures. Therefore,
Primoris has assumed these structures are no longer extant and do not require avoidance.</t>
  </si>
  <si>
    <t>Assumption - A21 - Assume the project lies outside of the tricolored bat range and that there are no tree clearing restrictions due to bats.</t>
  </si>
  <si>
    <t>Assumption - A22 - Texas Kangaroo Rat is not expected to occur in the project area. Primoris assumes no survey, mitigation and/or avoidance is required for this species.</t>
  </si>
  <si>
    <t>Assumption - A23 - Exhibit Q (Interconnect Agreement) does not specify the In-Service date. Our schedule assumes power will be available for Substation testing on June 1, 2027.</t>
  </si>
  <si>
    <t>Assumption - A24 - Our schedule assumes the Wilbarger County Road Use Agreement (RUA) will be approved by Oct 1, 2025.</t>
  </si>
  <si>
    <t>Assumption - A25 - Our schedule assume improvements of the joint Solar/oil well Access Roads can begin as soon as the RUA is approved (i.e. since the roads are already in place, a driveway permit will not be required).</t>
  </si>
  <si>
    <t>Assumption - A26 - Assume there will be no interference with Wind Farm construction activities on the Access Roads included in the RUA.</t>
  </si>
  <si>
    <t>Assumption - A27 - Assume average module delivery rate of 30MW/week.</t>
  </si>
  <si>
    <t>Assumption - A28 - Assume tree clearing, chipping and spreading can start anytime. Assumes the SWPPP needs to be inplace prior to stump removal.</t>
  </si>
  <si>
    <t>Clarification - C1 - An additional corrosion study will be provided by JDH corrosion, based on the corrosion potential in the geotech report.</t>
  </si>
  <si>
    <t>Clarification - C2 - Primoris is requesting 0.4% of total modules for construction spares.</t>
  </si>
  <si>
    <t>Clarification - C3 - Performance testing: Primoris agrees to an ASTM standard-based Capacity Test, which is the industry standard performance guarantee in the US. This is the same approach taken on Bellefield II. All performance testing shall be executed at the plant level, not at the circuit level.</t>
  </si>
  <si>
    <t>Clarification - C4 - Contractor guarantees that the Capacity Test output will be equal to or greater than 97% of the Expected Capacity in accordance with certain criteria as will be more precisely detailed in an exhibit to the EPC Contract (the “Guaranteed Capacity”), the terms of which shall be subject to negotiation by the parties
prior to the execution of the EPC Contract.</t>
  </si>
  <si>
    <t>Clarification - C5 - Construction spares have been included for the PV plant construction.</t>
  </si>
  <si>
    <t>Clarification - C6 - Pricing for MET equipment includes design engineering, procurement, installation, and commissioning of the following equipment:
13 Zenith MET Stations:
-1 GHI Pyranometer, 1 POA Pyranometer, 3 RPOA Pyranometers, 1 All-in-one Weather Sensor, 1 Rain Gauge, 1 Lightning Rod*, 4 Surge Arrestors* (1 per array pyranometer)
13 Eclipse Soiling Stations
5 Standalone Albedometers:
-1 GHI Pyranometer, 1 RGHI Pyranometer
*Lightning rod and surge arrestors added at recommendation of MET vendor due to the project being located in an area of elevated lightning risk.</t>
  </si>
  <si>
    <t>Clarification - C7 - SCADA proposal includes the latest exhibits for Crescent PV, which is different from BF2. Based on ask from AES to make suggestions for improvements we have come up with some items and possible approximate cost savings:
-Canary Historian ~$500K
-Cisco Firewalls ~ $20K
-1GB Field Network ~ $200K</t>
  </si>
  <si>
    <t>Clarification - C8 - 750 kcmil cable length mentioned in the client's 30% design is 164,678 LNFT less than PRE's calculated
value( three phase). Our analysis is that the client has not considered, the parallel run lengths in the calculation.</t>
  </si>
  <si>
    <t>Clarification - C9 - Base bid proposal pricing (based on 30%) includes cost for 1,080 silt fence rock outlets although the Westwood 30% drawings do not show these. Primoris assumed silt fence rock outlets would be used at
intervals of 250 feet along silt fence.</t>
  </si>
  <si>
    <t>Clarification - C10 - Base bid proposal pricing (based on 30%) does not include cost for fiber roll, rock check dams, or diversion swales since the Westwood 30% drawings do not show these.</t>
  </si>
  <si>
    <t>Clarification - C11 - Proposal pricing include cost for third party SWPPP inspections.</t>
  </si>
  <si>
    <t>Clarification - C12 - The tracker design is using 60 degree stow which differs from the 30% Westwood design 75 degree.</t>
  </si>
  <si>
    <t>Clarification - C13 - Pre-drill PLT's was not performed by ANS and pre-drill with an undersize hole will be required to confirm the driven pile design parameters.</t>
  </si>
  <si>
    <t>Clarification - C14 - Additional PLT drivability testing will be required to confirm areas of pre-drill for driven pile install.</t>
  </si>
  <si>
    <t>Clarification - C15 - We have included installation and maintenance of the Switchyard/Substation Access Road in our scope.
Depending on the construction schedule for the switchyard, the road may be built before our schedule dictates (Mar'26).</t>
  </si>
  <si>
    <t>Clarification - C16 - An alternate price for procurement, installation and commissioning of 153 SMA model SC4400 UP-US Inverters is offered. To meet the project schedule an accelerated Commissioning Schedule (50 calendar
day duration) and a supply of commissioning spares is recommended.</t>
  </si>
  <si>
    <t>Clarification - C17 - The SMA Inverters offered here include a  55 degree C ambient temperature option.</t>
  </si>
  <si>
    <t>Clarification - C18 - Per the exhibit D-8 and D-8.1, Primoris will provide a dedicate on-site staff to develop the social management plan, community engagement meetings, create risk mitigation (includes noise, dust, signage), job fair planning and participation, weekly/ monthly compliance updates, and owner-led social
impact session. The cost associated with this will be provided as below the line allowance.</t>
  </si>
  <si>
    <t>Clarification - C19 - The project schedule dictates we start construction work on the East side of the project and the west side at the same time.  Consequently we will not be following the SWPPP staging plan described in the
30 design, drawing PV-C.01.05r1.</t>
  </si>
  <si>
    <t>Clarification - C20 - Pricing for basins aligns with Westwood's 30% drawings which indicate all basins will be temporary converted to permanent. Price may change for basin reclamation if basins are to be temporary only.</t>
  </si>
  <si>
    <t>Clarification - C21 - Base price includes 90% pre-drill. Adder for 100% pre-drill will be provided below the line.</t>
  </si>
  <si>
    <t>Clarification - C22 - Removal and disposal of existing and/or non-project generated refuse or debris beyond what's described in the 30% design.</t>
  </si>
  <si>
    <t>Exclusion - E1 - Hail protection of the PV modules when in the pallet or installed on the tracker (60 degree HailPro).</t>
  </si>
  <si>
    <t>Exclusion - E2 - Monies for discovery and/or removal of underground tanks, flow lines, pipes, and foundations.</t>
  </si>
  <si>
    <t>Exclusion - E3 - No double handling of modules is included.</t>
  </si>
  <si>
    <t>Exclusion - E4 - Module washing during or after installation.</t>
  </si>
  <si>
    <t>Exclusion - E5 - Scanning of each barcode on every module installed.</t>
  </si>
  <si>
    <t>Exclusion - E6 - Lightning protection for PV Inverters.</t>
  </si>
  <si>
    <t>Exclusion - E7 - Per the exhibit P, no O&amp;M spares are included. The Parties shall enter into a Change Order to amend the Contract Price to include such elected Spare Parts post Notice to Proceed.</t>
  </si>
  <si>
    <t>Exclusion - E8 - Back of module temperature sensors, as AES has informed PRE that neither the ISO or forthcoming PPAs shall require them.</t>
  </si>
  <si>
    <t>Exclusion - E9 - Removal or remediation of any contaminated soils or hazardous materials encountered.</t>
  </si>
  <si>
    <t>Exclusion - E10 - Primoris has excluded any rock trenching, rock blasting, mechanical breaking or rock drilling.</t>
  </si>
  <si>
    <t>Exclusion - E11 - Temporary or permanent relocation of existing utilities beyond what's described in the 30% design.</t>
  </si>
  <si>
    <t>Exclusion - E12 - Not responsible for crop damage, livestock protection or drain tile repair/mitigation.</t>
  </si>
  <si>
    <t>Exclusion - E13 - Removal of underground tanks, flow lines, pipes, and foundations.</t>
  </si>
  <si>
    <t>Exclusion - E14 - Material trucking between each half of the project or material export off site.</t>
  </si>
  <si>
    <t>Assumption - A1 - Proposal includes the provision of a 20 MVAR capacitor bank per MPT. PPS reserves the right to adjust the pricing based on the findings of the reactive power study.</t>
  </si>
  <si>
    <t>HV</t>
  </si>
  <si>
    <t>Assumption - A2 - Proposal assumes the main power transformer setting, filling, and testing will be done by manufacturer and assumed duration of two weeks.</t>
  </si>
  <si>
    <t>Clarification - C1 - This proposal is based on non-union labor.</t>
  </si>
  <si>
    <t>Clarification - C2 - Proposal validity is 30 days.</t>
  </si>
  <si>
    <t>Clarification - C3 - Proposal includes a two year workmanship warranty for the substation.</t>
  </si>
  <si>
    <t>Clarification - C4 - HV demarcation is at the dead end structure of the substation.</t>
  </si>
  <si>
    <t>Clarification - C5 - Substation work schedule is based on continuous work at six days a week (Monday through Saturday) at 10 hours per day.</t>
  </si>
  <si>
    <t>Clarification - C6 - PPS will provide substation on-site orientation and familiarization (O&amp;F) to owner and operator to introduce the system and its key components before the expected O&amp;M handoff date. Formal training
on system operation and preventative or corrective maintenance is the responsibility of the owner and operator.</t>
  </si>
  <si>
    <t>Clarification - C7 - Storage for the owner provided HV circuit breakers is included.</t>
  </si>
  <si>
    <t>Exclusion - E1 - Primoris will not cover any cost for the storage of the main power transformers.</t>
  </si>
  <si>
    <t>Exclusion - E2 - The main power transformer setting, filling, and testing.</t>
  </si>
  <si>
    <t>Exclusion - E3 - Post harmonic testing.</t>
  </si>
  <si>
    <t>Exclusion - E4 - Substation rock excavation.</t>
  </si>
  <si>
    <t>Assumption - A17 - All dirt work is full machine excavation.</t>
  </si>
  <si>
    <t>Assumption - A18 - Assume all powerlines, roads, and easements can be bored under.</t>
  </si>
  <si>
    <t>Assumption - A2 - PPS assumes all circuit crossings will be done with outages, and will be de-energized.</t>
  </si>
  <si>
    <t>Assumption - A3 - We have assumed a total of 330,500lbs for the steel poles.</t>
  </si>
  <si>
    <t>Assumption - A4 - We have assumed a total of 1,015CY of concrete for the drilled piers.</t>
  </si>
  <si>
    <t>Team Members</t>
  </si>
  <si>
    <t>Name</t>
  </si>
  <si>
    <t>Mark Oliver</t>
  </si>
  <si>
    <t>Josh Phillips</t>
  </si>
  <si>
    <t>Megan Lisburg</t>
  </si>
  <si>
    <t>Legal</t>
  </si>
  <si>
    <t>Trent Raleigh</t>
  </si>
  <si>
    <t>Interconnection</t>
  </si>
  <si>
    <t>Cory Blair</t>
  </si>
  <si>
    <t>Tyler Hock</t>
  </si>
  <si>
    <t>Jon Coyne</t>
  </si>
  <si>
    <t>Naveena Kodakandla</t>
  </si>
  <si>
    <t>Brent Anderson</t>
  </si>
  <si>
    <t>Page Bolin</t>
  </si>
  <si>
    <t>Daniela Rojas</t>
  </si>
  <si>
    <t>30% Design Package</t>
  </si>
  <si>
    <t>PV Assumptions — Differences</t>
  </si>
  <si>
    <t>Tariff cutoff date</t>
  </si>
  <si>
    <r>
      <t>7/28</t>
    </r>
    <r>
      <rPr>
        <sz val="10"/>
        <color rgb="FF000000"/>
        <rFont val="Times New Roman"/>
        <charset val="204"/>
      </rPr>
      <t xml:space="preserve">: “through </t>
    </r>
    <r>
      <rPr>
        <b/>
        <sz val="10"/>
        <color rgb="FF000000"/>
        <rFont val="Times New Roman"/>
        <charset val="204"/>
      </rPr>
      <t>mid-July, 2025</t>
    </r>
    <r>
      <rPr>
        <sz val="10"/>
        <color rgb="FF000000"/>
        <rFont val="Times New Roman"/>
        <charset val="204"/>
      </rPr>
      <t>” (below-the-line).</t>
    </r>
  </si>
  <si>
    <r>
      <t>8/08</t>
    </r>
    <r>
      <rPr>
        <sz val="10"/>
        <color rgb="FF000000"/>
        <rFont val="Times New Roman"/>
        <charset val="204"/>
      </rPr>
      <t xml:space="preserve">: “through </t>
    </r>
    <r>
      <rPr>
        <b/>
        <sz val="10"/>
        <color rgb="FF000000"/>
        <rFont val="Times New Roman"/>
        <charset val="204"/>
      </rPr>
      <t>end of July 2025</t>
    </r>
    <r>
      <rPr>
        <sz val="10"/>
        <color rgb="FF000000"/>
        <rFont val="Times New Roman"/>
        <charset val="204"/>
      </rPr>
      <t>” (below-the-line).</t>
    </r>
  </si>
  <si>
    <t>Pile embedment &amp; basis of loads</t>
  </si>
  <si>
    <r>
      <t>7/28</t>
    </r>
    <r>
      <rPr>
        <sz val="10"/>
        <color rgb="FF000000"/>
        <rFont val="Times New Roman"/>
        <charset val="204"/>
      </rPr>
      <t xml:space="preserve">: Max embedment </t>
    </r>
    <r>
      <rPr>
        <b/>
        <sz val="10"/>
        <color rgb="FF000000"/>
        <rFont val="Times New Roman"/>
        <charset val="204"/>
      </rPr>
      <t>9'</t>
    </r>
    <r>
      <rPr>
        <sz val="10"/>
        <color rgb="FF000000"/>
        <rFont val="Times New Roman"/>
        <charset val="204"/>
      </rPr>
      <t xml:space="preserve">; based on “Nextracker’s </t>
    </r>
    <r>
      <rPr>
        <b/>
        <sz val="10"/>
        <color rgb="FF000000"/>
        <rFont val="Times New Roman"/>
        <charset val="204"/>
      </rPr>
      <t>HailPro</t>
    </r>
    <r>
      <rPr>
        <sz val="10"/>
        <color rgb="FF000000"/>
        <rFont val="Times New Roman"/>
        <charset val="204"/>
      </rPr>
      <t xml:space="preserve"> 60° stow” loads.</t>
    </r>
  </si>
  <si>
    <r>
      <rPr>
        <b/>
        <sz val="10"/>
        <color rgb="FF000000"/>
        <rFont val="Times New Roman"/>
      </rPr>
      <t>8/08</t>
    </r>
    <r>
      <rPr>
        <sz val="10"/>
        <color rgb="FF000000"/>
        <rFont val="Times New Roman"/>
      </rPr>
      <t xml:space="preserve">: Max embedment </t>
    </r>
    <r>
      <rPr>
        <b/>
        <sz val="10"/>
        <color rgb="FF000000"/>
        <rFont val="Times New Roman"/>
      </rPr>
      <t>8'</t>
    </r>
    <r>
      <rPr>
        <sz val="10"/>
        <color rgb="FF000000"/>
        <rFont val="Times New Roman"/>
      </rPr>
      <t xml:space="preserve">; based on “Nextracker’s </t>
    </r>
    <r>
      <rPr>
        <b/>
        <sz val="10"/>
        <color rgb="FF000000"/>
        <rFont val="Times New Roman"/>
      </rPr>
      <t>HailPro</t>
    </r>
    <r>
      <rPr>
        <sz val="10"/>
        <color rgb="FF000000"/>
        <rFont val="Times New Roman"/>
      </rPr>
      <t xml:space="preserve"> 60° stow” loads.</t>
    </r>
  </si>
  <si>
    <t>Power factor for losses</t>
  </si>
  <si>
    <r>
      <t>7/28</t>
    </r>
    <r>
      <rPr>
        <sz val="10"/>
        <color rgb="FF000000"/>
        <rFont val="Times New Roman"/>
        <charset val="204"/>
      </rPr>
      <t xml:space="preserve">: </t>
    </r>
    <r>
      <rPr>
        <b/>
        <sz val="10"/>
        <color rgb="FF000000"/>
        <rFont val="Times New Roman"/>
        <charset val="204"/>
      </rPr>
      <t>0.94</t>
    </r>
    <r>
      <rPr>
        <sz val="10"/>
        <color rgb="FF000000"/>
        <rFont val="Times New Roman"/>
        <charset val="204"/>
      </rPr>
      <t>.</t>
    </r>
  </si>
  <si>
    <r>
      <t>8/08</t>
    </r>
    <r>
      <rPr>
        <sz val="10"/>
        <color rgb="FF000000"/>
        <rFont val="Times New Roman"/>
        <charset val="204"/>
      </rPr>
      <t xml:space="preserve">: </t>
    </r>
    <r>
      <rPr>
        <b/>
        <sz val="10"/>
        <color rgb="FF000000"/>
        <rFont val="Times New Roman"/>
        <charset val="204"/>
      </rPr>
      <t>0.92</t>
    </r>
    <r>
      <rPr>
        <sz val="10"/>
        <color rgb="FF000000"/>
        <rFont val="Times New Roman"/>
        <charset val="204"/>
      </rPr>
      <t>.</t>
    </r>
  </si>
  <si>
    <t>Ampacity basis</t>
  </si>
  <si>
    <r>
      <t>7/28</t>
    </r>
    <r>
      <rPr>
        <sz val="10"/>
        <color rgb="FF000000"/>
        <rFont val="Times New Roman"/>
        <charset val="204"/>
      </rPr>
      <t xml:space="preserve">: “Ampacity values provided by the client's </t>
    </r>
    <r>
      <rPr>
        <b/>
        <sz val="10"/>
        <color rgb="FF000000"/>
        <rFont val="Times New Roman"/>
        <charset val="204"/>
      </rPr>
      <t>Ampacity report</t>
    </r>
    <r>
      <rPr>
        <sz val="10"/>
        <color rgb="FF000000"/>
        <rFont val="Times New Roman"/>
        <charset val="204"/>
      </rPr>
      <t>.”</t>
    </r>
  </si>
  <si>
    <r>
      <t>8/08</t>
    </r>
    <r>
      <rPr>
        <sz val="10"/>
        <color rgb="FF000000"/>
        <rFont val="Times New Roman"/>
        <charset val="204"/>
      </rPr>
      <t xml:space="preserve">: Uses </t>
    </r>
    <r>
      <rPr>
        <b/>
        <sz val="10"/>
        <color rgb="FF000000"/>
        <rFont val="Times New Roman"/>
        <charset val="204"/>
      </rPr>
      <t>thermal resistivity values from client geotech</t>
    </r>
    <r>
      <rPr>
        <sz val="10"/>
        <color rgb="FF000000"/>
        <rFont val="Times New Roman"/>
        <charset val="204"/>
      </rPr>
      <t xml:space="preserve"> for ampacity calculations.</t>
    </r>
  </si>
  <si>
    <t>MV cable concentric neutral sizing note</t>
  </si>
  <si>
    <r>
      <t>7/28</t>
    </r>
    <r>
      <rPr>
        <sz val="10"/>
        <color rgb="FF000000"/>
        <rFont val="Times New Roman"/>
        <charset val="204"/>
      </rPr>
      <t xml:space="preserve">: Lists CN sizes and states </t>
    </r>
    <r>
      <rPr>
        <b/>
        <sz val="10"/>
        <color rgb="FF000000"/>
        <rFont val="Times New Roman"/>
        <charset val="204"/>
      </rPr>
      <t>“These sizes are bigger than the size mentioned in the client's 30% design.”</t>
    </r>
  </si>
  <si>
    <r>
      <t>8/08</t>
    </r>
    <r>
      <rPr>
        <sz val="10"/>
        <color rgb="FF000000"/>
        <rFont val="Times New Roman"/>
        <charset val="204"/>
      </rPr>
      <t xml:space="preserve">: Lists the </t>
    </r>
    <r>
      <rPr>
        <b/>
        <sz val="10"/>
        <color rgb="FF000000"/>
        <rFont val="Times New Roman"/>
        <charset val="204"/>
      </rPr>
      <t>same CN sizes</t>
    </r>
    <r>
      <rPr>
        <sz val="10"/>
        <color rgb="FF000000"/>
        <rFont val="Times New Roman"/>
        <charset val="204"/>
      </rPr>
      <t xml:space="preserve"> but </t>
    </r>
    <r>
      <rPr>
        <b/>
        <sz val="10"/>
        <color rgb="FF000000"/>
        <rFont val="Times New Roman"/>
        <charset val="204"/>
      </rPr>
      <t>drops</t>
    </r>
    <r>
      <rPr>
        <sz val="10"/>
        <color rgb="FF000000"/>
        <rFont val="Times New Roman"/>
        <charset val="204"/>
      </rPr>
      <t xml:space="preserve"> the “bigger than 30% design” remark.</t>
    </r>
  </si>
  <si>
    <r>
      <t>New MV design/installation assumptions added in 8/08</t>
    </r>
    <r>
      <rPr>
        <sz val="10"/>
        <color rgb="FF000000"/>
        <rFont val="Times New Roman"/>
        <charset val="204"/>
      </rPr>
      <t xml:space="preserve"> (no 7/28 counterparts):</t>
    </r>
  </si>
  <si>
    <r>
      <t>Trefoil</t>
    </r>
    <r>
      <rPr>
        <sz val="10"/>
        <color rgb="FF000000"/>
        <rFont val="Times New Roman"/>
        <charset val="204"/>
      </rPr>
      <t xml:space="preserve"> configuration used for MV ampacity.</t>
    </r>
  </si>
  <si>
    <r>
      <t>Spiderplow</t>
    </r>
    <r>
      <rPr>
        <sz val="10"/>
        <color rgb="FF000000"/>
        <rFont val="Times New Roman"/>
        <charset val="204"/>
      </rPr>
      <t xml:space="preserve"> installation method for MV cable.</t>
    </r>
  </si>
  <si>
    <r>
      <t>90% compaction</t>
    </r>
    <r>
      <rPr>
        <sz val="10"/>
        <color rgb="FF000000"/>
        <rFont val="Times New Roman"/>
        <charset val="204"/>
      </rPr>
      <t xml:space="preserve"> from thermal resistivity report; plowing most efficient.</t>
    </r>
  </si>
  <si>
    <r>
      <t>SMA 4400 (55 °C option) values</t>
    </r>
    <r>
      <rPr>
        <sz val="10"/>
        <color rgb="FF000000"/>
        <rFont val="Times New Roman"/>
        <charset val="204"/>
      </rPr>
      <t xml:space="preserve"> used to calculate number of skids.</t>
    </r>
  </si>
  <si>
    <t>Water sourcing / volume</t>
  </si>
  <si>
    <r>
      <t>7/28</t>
    </r>
    <r>
      <rPr>
        <sz val="10"/>
        <color rgb="FF000000"/>
        <rFont val="Times New Roman"/>
        <charset val="204"/>
      </rPr>
      <t xml:space="preserve">: Assumes on-site wells; requires </t>
    </r>
    <r>
      <rPr>
        <b/>
        <sz val="10"/>
        <color rgb="FF000000"/>
        <rFont val="Times New Roman"/>
        <charset val="204"/>
      </rPr>
      <t>~100 million gallons</t>
    </r>
    <r>
      <rPr>
        <sz val="10"/>
        <color rgb="FF000000"/>
        <rFont val="Times New Roman"/>
        <charset val="204"/>
      </rPr>
      <t>; $0.50/barrel (37 gal).</t>
    </r>
  </si>
  <si>
    <r>
      <t>8/08</t>
    </r>
    <r>
      <rPr>
        <sz val="10"/>
        <color rgb="FF000000"/>
        <rFont val="Times New Roman"/>
        <charset val="204"/>
      </rPr>
      <t xml:space="preserve">: Same sourcing &amp; price; requires </t>
    </r>
    <r>
      <rPr>
        <b/>
        <sz val="10"/>
        <color rgb="FF000000"/>
        <rFont val="Times New Roman"/>
        <charset val="204"/>
      </rPr>
      <t>~80 million gallons</t>
    </r>
    <r>
      <rPr>
        <sz val="10"/>
        <color rgb="FF000000"/>
        <rFont val="Times New Roman"/>
        <charset val="204"/>
      </rPr>
      <t>.</t>
    </r>
  </si>
  <si>
    <t>Access roads / schedule assumptions (selected)</t>
  </si>
  <si>
    <t>Module delivery rate</t>
  </si>
  <si>
    <r>
      <t>7/28</t>
    </r>
    <r>
      <rPr>
        <sz val="10"/>
        <color rgb="FF000000"/>
        <rFont val="Times New Roman"/>
        <charset val="204"/>
      </rPr>
      <t xml:space="preserve">: </t>
    </r>
    <r>
      <rPr>
        <b/>
        <sz val="10"/>
        <color rgb="FF000000"/>
        <rFont val="Times New Roman"/>
        <charset val="204"/>
      </rPr>
      <t>30 MW/week</t>
    </r>
    <r>
      <rPr>
        <sz val="10"/>
        <color rgb="FF000000"/>
        <rFont val="Times New Roman"/>
        <charset val="204"/>
      </rPr>
      <t>.</t>
    </r>
  </si>
  <si>
    <r>
      <t>8/08</t>
    </r>
    <r>
      <rPr>
        <sz val="10"/>
        <color rgb="FF000000"/>
        <rFont val="Times New Roman"/>
        <charset val="204"/>
      </rPr>
      <t xml:space="preserve">: </t>
    </r>
    <r>
      <rPr>
        <b/>
        <sz val="10"/>
        <color rgb="FF000000"/>
        <rFont val="Times New Roman"/>
        <charset val="204"/>
      </rPr>
      <t>18 MW/week</t>
    </r>
    <r>
      <rPr>
        <sz val="10"/>
        <color rgb="FF000000"/>
        <rFont val="Times New Roman"/>
        <charset val="204"/>
      </rPr>
      <t>.</t>
    </r>
  </si>
  <si>
    <t>Basins</t>
  </si>
  <si>
    <r>
      <t>7/28 (Clarification C20)</t>
    </r>
    <r>
      <rPr>
        <sz val="10"/>
        <color rgb="FF000000"/>
        <rFont val="Times New Roman"/>
        <charset val="204"/>
      </rPr>
      <t xml:space="preserve">: Pricing aligned to </t>
    </r>
    <r>
      <rPr>
        <b/>
        <sz val="10"/>
        <color rgb="FF000000"/>
        <rFont val="Times New Roman"/>
        <charset val="204"/>
      </rPr>
      <t>temporary converted to permanent</t>
    </r>
    <r>
      <rPr>
        <sz val="10"/>
        <color rgb="FF000000"/>
        <rFont val="Times New Roman"/>
        <charset val="204"/>
      </rPr>
      <t xml:space="preserve">; price may change if </t>
    </r>
    <r>
      <rPr>
        <b/>
        <sz val="10"/>
        <color rgb="FF000000"/>
        <rFont val="Times New Roman"/>
        <charset val="204"/>
      </rPr>
      <t>temporary only</t>
    </r>
    <r>
      <rPr>
        <sz val="10"/>
        <color rgb="FF000000"/>
        <rFont val="Times New Roman"/>
        <charset val="204"/>
      </rPr>
      <t>.</t>
    </r>
  </si>
  <si>
    <r>
      <t>8/08 (Assumption A33)</t>
    </r>
    <r>
      <rPr>
        <sz val="10"/>
        <color rgb="FF000000"/>
        <rFont val="Times New Roman"/>
        <charset val="204"/>
      </rPr>
      <t xml:space="preserve">: Assumes </t>
    </r>
    <r>
      <rPr>
        <b/>
        <sz val="10"/>
        <color rgb="FF000000"/>
        <rFont val="Times New Roman"/>
        <charset val="204"/>
      </rPr>
      <t>all basins will be temporary</t>
    </r>
    <r>
      <rPr>
        <sz val="10"/>
        <color rgb="FF000000"/>
        <rFont val="Times New Roman"/>
        <charset val="204"/>
      </rPr>
      <t xml:space="preserve">; price may change if </t>
    </r>
    <r>
      <rPr>
        <b/>
        <sz val="10"/>
        <color rgb="FF000000"/>
        <rFont val="Times New Roman"/>
        <charset val="204"/>
      </rPr>
      <t>permanent</t>
    </r>
    <r>
      <rPr>
        <sz val="10"/>
        <color rgb="FF000000"/>
        <rFont val="Times New Roman"/>
        <charset val="204"/>
      </rPr>
      <t xml:space="preserve"> required.</t>
    </r>
  </si>
  <si>
    <t>PV Clarifications — Differences</t>
  </si>
  <si>
    <t>MET / soiling / albedo instrumentation counts</t>
  </si>
  <si>
    <r>
      <t>7/28 (C6)</t>
    </r>
    <r>
      <rPr>
        <sz val="10"/>
        <color rgb="FF000000"/>
        <rFont val="Times New Roman"/>
        <charset val="204"/>
      </rPr>
      <t xml:space="preserve">: </t>
    </r>
    <r>
      <rPr>
        <b/>
        <sz val="10"/>
        <color rgb="FF000000"/>
        <rFont val="Times New Roman"/>
        <charset val="204"/>
      </rPr>
      <t>13</t>
    </r>
    <r>
      <rPr>
        <sz val="10"/>
        <color rgb="FF000000"/>
        <rFont val="Times New Roman"/>
        <charset val="204"/>
      </rPr>
      <t xml:space="preserve"> Zenith MET, </t>
    </r>
    <r>
      <rPr>
        <b/>
        <sz val="10"/>
        <color rgb="FF000000"/>
        <rFont val="Times New Roman"/>
        <charset val="204"/>
      </rPr>
      <t>13</t>
    </r>
    <r>
      <rPr>
        <sz val="10"/>
        <color rgb="FF000000"/>
        <rFont val="Times New Roman"/>
        <charset val="204"/>
      </rPr>
      <t xml:space="preserve"> Eclipse soiling, </t>
    </r>
    <r>
      <rPr>
        <b/>
        <sz val="10"/>
        <color rgb="FF000000"/>
        <rFont val="Times New Roman"/>
        <charset val="204"/>
      </rPr>
      <t>5</t>
    </r>
    <r>
      <rPr>
        <sz val="10"/>
        <color rgb="FF000000"/>
        <rFont val="Times New Roman"/>
        <charset val="204"/>
      </rPr>
      <t xml:space="preserve"> standalone albedometers.</t>
    </r>
  </si>
  <si>
    <r>
      <t>8/08 (C6)</t>
    </r>
    <r>
      <rPr>
        <sz val="10"/>
        <color rgb="FF000000"/>
        <rFont val="Times New Roman"/>
        <charset val="204"/>
      </rPr>
      <t xml:space="preserve">: </t>
    </r>
    <r>
      <rPr>
        <b/>
        <sz val="10"/>
        <color rgb="FF000000"/>
        <rFont val="Times New Roman"/>
        <charset val="204"/>
      </rPr>
      <t>10</t>
    </r>
    <r>
      <rPr>
        <sz val="10"/>
        <color rgb="FF000000"/>
        <rFont val="Times New Roman"/>
        <charset val="204"/>
      </rPr>
      <t xml:space="preserve"> Zenith MET, </t>
    </r>
    <r>
      <rPr>
        <b/>
        <sz val="10"/>
        <color rgb="FF000000"/>
        <rFont val="Times New Roman"/>
        <charset val="204"/>
      </rPr>
      <t>10</t>
    </r>
    <r>
      <rPr>
        <sz val="10"/>
        <color rgb="FF000000"/>
        <rFont val="Times New Roman"/>
        <charset val="204"/>
      </rPr>
      <t xml:space="preserve"> Eclipse soiling, </t>
    </r>
    <r>
      <rPr>
        <b/>
        <sz val="10"/>
        <color rgb="FF000000"/>
        <rFont val="Times New Roman"/>
        <charset val="204"/>
      </rPr>
      <t>3</t>
    </r>
    <r>
      <rPr>
        <sz val="10"/>
        <color rgb="FF000000"/>
        <rFont val="Times New Roman"/>
        <charset val="204"/>
      </rPr>
      <t xml:space="preserve"> standalone albedometers.</t>
    </r>
  </si>
  <si>
    <t>SCADA “suggested removals” cost-savings magnitudes</t>
  </si>
  <si>
    <r>
      <t>7/28 (C7)</t>
    </r>
    <r>
      <rPr>
        <sz val="10"/>
        <color rgb="FF000000"/>
        <rFont val="Times New Roman"/>
        <charset val="204"/>
      </rPr>
      <t xml:space="preserve">: Canary Historian </t>
    </r>
    <r>
      <rPr>
        <b/>
        <sz val="10"/>
        <color rgb="FF000000"/>
        <rFont val="Times New Roman"/>
        <charset val="204"/>
      </rPr>
      <t>~$500k</t>
    </r>
    <r>
      <rPr>
        <sz val="10"/>
        <color rgb="FF000000"/>
        <rFont val="Times New Roman"/>
        <charset val="204"/>
      </rPr>
      <t xml:space="preserve">; Cisco Firewalls </t>
    </r>
    <r>
      <rPr>
        <b/>
        <sz val="10"/>
        <color rgb="FF000000"/>
        <rFont val="Times New Roman"/>
        <charset val="204"/>
      </rPr>
      <t>~$20k</t>
    </r>
    <r>
      <rPr>
        <sz val="10"/>
        <color rgb="FF000000"/>
        <rFont val="Times New Roman"/>
        <charset val="204"/>
      </rPr>
      <t xml:space="preserve">; 1 GB Field Network </t>
    </r>
    <r>
      <rPr>
        <b/>
        <sz val="10"/>
        <color rgb="FF000000"/>
        <rFont val="Times New Roman"/>
        <charset val="204"/>
      </rPr>
      <t>~$200k</t>
    </r>
    <r>
      <rPr>
        <sz val="10"/>
        <color rgb="FF000000"/>
        <rFont val="Times New Roman"/>
        <charset val="204"/>
      </rPr>
      <t>.</t>
    </r>
  </si>
  <si>
    <r>
      <t>8/08 (C7)</t>
    </r>
    <r>
      <rPr>
        <sz val="10"/>
        <color rgb="FF000000"/>
        <rFont val="Times New Roman"/>
        <charset val="204"/>
      </rPr>
      <t xml:space="preserve">: Canary Historian </t>
    </r>
    <r>
      <rPr>
        <b/>
        <sz val="10"/>
        <color rgb="FF000000"/>
        <rFont val="Times New Roman"/>
        <charset val="204"/>
      </rPr>
      <t>~$400k</t>
    </r>
    <r>
      <rPr>
        <sz val="10"/>
        <color rgb="FF000000"/>
        <rFont val="Times New Roman"/>
        <charset val="204"/>
      </rPr>
      <t xml:space="preserve">; Cisco Firewalls </t>
    </r>
    <r>
      <rPr>
        <b/>
        <sz val="10"/>
        <color rgb="FF000000"/>
        <rFont val="Times New Roman"/>
        <charset val="204"/>
      </rPr>
      <t>~$20k</t>
    </r>
    <r>
      <rPr>
        <sz val="10"/>
        <color rgb="FF000000"/>
        <rFont val="Times New Roman"/>
        <charset val="204"/>
      </rPr>
      <t xml:space="preserve">; 1 GB Field Network </t>
    </r>
    <r>
      <rPr>
        <b/>
        <sz val="10"/>
        <color rgb="FF000000"/>
        <rFont val="Times New Roman"/>
        <charset val="204"/>
      </rPr>
      <t>~$150k</t>
    </r>
    <r>
      <rPr>
        <sz val="10"/>
        <color rgb="FF000000"/>
        <rFont val="Times New Roman"/>
        <charset val="204"/>
      </rPr>
      <t>.</t>
    </r>
  </si>
  <si>
    <t>Cable length discrepancy note (750 kcmil)</t>
  </si>
  <si>
    <r>
      <t>7/28 (C8)</t>
    </r>
    <r>
      <rPr>
        <sz val="10"/>
        <color rgb="FF000000"/>
        <rFont val="Times New Roman"/>
        <charset val="204"/>
      </rPr>
      <t xml:space="preserve">: Notes </t>
    </r>
    <r>
      <rPr>
        <b/>
        <sz val="10"/>
        <color rgb="FF000000"/>
        <rFont val="Times New Roman"/>
        <charset val="204"/>
      </rPr>
      <t>164,678 LNFT</t>
    </r>
    <r>
      <rPr>
        <sz val="10"/>
        <color rgb="FF000000"/>
        <rFont val="Times New Roman"/>
        <charset val="204"/>
      </rPr>
      <t xml:space="preserve"> delta vs. client’s 30% design and cause.</t>
    </r>
  </si>
  <si>
    <r>
      <t>8/08</t>
    </r>
    <r>
      <rPr>
        <sz val="10"/>
        <color rgb="FF000000"/>
        <rFont val="Times New Roman"/>
        <charset val="204"/>
      </rPr>
      <t xml:space="preserve">: </t>
    </r>
    <r>
      <rPr>
        <b/>
        <sz val="10"/>
        <color rgb="FF000000"/>
        <rFont val="Times New Roman"/>
        <charset val="204"/>
      </rPr>
      <t>This note is not present</t>
    </r>
    <r>
      <rPr>
        <sz val="10"/>
        <color rgb="FF000000"/>
        <rFont val="Times New Roman"/>
        <charset val="204"/>
      </rPr>
      <t xml:space="preserve"> in the August clarifications section provided. (No counterpart under C1–C19.)</t>
    </r>
  </si>
  <si>
    <t>Erosion/sediment controls</t>
  </si>
  <si>
    <r>
      <t>7/28 (C9–C10)</t>
    </r>
    <r>
      <rPr>
        <sz val="10"/>
        <color rgb="FF000000"/>
        <rFont val="Times New Roman"/>
        <charset val="204"/>
      </rPr>
      <t xml:space="preserve">: Adds </t>
    </r>
    <r>
      <rPr>
        <b/>
        <sz val="10"/>
        <color rgb="FF000000"/>
        <rFont val="Times New Roman"/>
        <charset val="204"/>
      </rPr>
      <t>1,080 silt fence rock outlets</t>
    </r>
    <r>
      <rPr>
        <sz val="10"/>
        <color rgb="FF000000"/>
        <rFont val="Times New Roman"/>
        <charset val="204"/>
      </rPr>
      <t xml:space="preserve"> assumption and </t>
    </r>
    <r>
      <rPr>
        <b/>
        <sz val="10"/>
        <color rgb="FF000000"/>
        <rFont val="Times New Roman"/>
        <charset val="204"/>
      </rPr>
      <t>excludes fiber roll, rock check dams, diversion swales</t>
    </r>
    <r>
      <rPr>
        <sz val="10"/>
        <color rgb="FF000000"/>
        <rFont val="Times New Roman"/>
        <charset val="204"/>
      </rPr>
      <t xml:space="preserve"> (not shown on 30%).</t>
    </r>
  </si>
  <si>
    <r>
      <t>8/08</t>
    </r>
    <r>
      <rPr>
        <sz val="10"/>
        <color rgb="FF000000"/>
        <rFont val="Times New Roman"/>
        <charset val="204"/>
      </rPr>
      <t xml:space="preserve">: These two lines </t>
    </r>
    <r>
      <rPr>
        <b/>
        <sz val="10"/>
        <color rgb="FF000000"/>
        <rFont val="Times New Roman"/>
        <charset val="204"/>
      </rPr>
      <t>do not appear</t>
    </r>
    <r>
      <rPr>
        <sz val="10"/>
        <color rgb="FF000000"/>
        <rFont val="Times New Roman"/>
        <charset val="204"/>
      </rPr>
      <t>; Clarifications now begin with SWPPP inspections (C9).</t>
    </r>
  </si>
  <si>
    <t>SWPPP inspections</t>
  </si>
  <si>
    <r>
      <t>7/28 (C11)</t>
    </r>
    <r>
      <rPr>
        <sz val="10"/>
        <color rgb="FF000000"/>
        <rFont val="Times New Roman"/>
        <charset val="204"/>
      </rPr>
      <t>: Included.</t>
    </r>
  </si>
  <si>
    <r>
      <t>8/08 (C9)</t>
    </r>
    <r>
      <rPr>
        <sz val="10"/>
        <color rgb="FF000000"/>
        <rFont val="Times New Roman"/>
        <charset val="204"/>
      </rPr>
      <t>: Included (renumbered and restated).</t>
    </r>
  </si>
  <si>
    <t>Tracker stow angle</t>
  </si>
  <si>
    <r>
      <t>7/28 (C12)</t>
    </r>
    <r>
      <rPr>
        <sz val="10"/>
        <color rgb="FF000000"/>
        <rFont val="Times New Roman"/>
        <charset val="204"/>
      </rPr>
      <t>: 60° stow vs. Westwood 75°.</t>
    </r>
  </si>
  <si>
    <r>
      <t>8/08 (C10)</t>
    </r>
    <r>
      <rPr>
        <sz val="10"/>
        <color rgb="FF000000"/>
        <rFont val="Times New Roman"/>
        <charset val="204"/>
      </rPr>
      <t>: 60° stow “per guidance from AES.”</t>
    </r>
  </si>
  <si>
    <t>Pre-drill PLTs &amp; drivability</t>
  </si>
  <si>
    <r>
      <t>7/28 (C13–C14)</t>
    </r>
    <r>
      <rPr>
        <sz val="10"/>
        <color rgb="FF000000"/>
        <rFont val="Times New Roman"/>
        <charset val="204"/>
      </rPr>
      <t>: Pre-drill PLTs not performed by ANS; additional PLT drivability testing required.</t>
    </r>
  </si>
  <si>
    <r>
      <t>8/08 (C11–C12)</t>
    </r>
    <r>
      <rPr>
        <sz val="10"/>
        <color rgb="FF000000"/>
        <rFont val="Times New Roman"/>
        <charset val="204"/>
      </rPr>
      <t>: Same requirements, renumbered.</t>
    </r>
  </si>
  <si>
    <t>Switchyard/Substation access road</t>
  </si>
  <si>
    <r>
      <t>7/28 (C15)</t>
    </r>
    <r>
      <rPr>
        <sz val="10"/>
        <color rgb="FF000000"/>
        <rFont val="Times New Roman"/>
        <charset val="204"/>
      </rPr>
      <t>: Included; may precede schedule (Mar ’26).</t>
    </r>
  </si>
  <si>
    <r>
      <t>8/08 (C13)</t>
    </r>
    <r>
      <rPr>
        <sz val="10"/>
        <color rgb="FF000000"/>
        <rFont val="Times New Roman"/>
        <charset val="204"/>
      </rPr>
      <t>: Same language.</t>
    </r>
  </si>
  <si>
    <t>Alternative SMA inverter procurement line item</t>
  </si>
  <si>
    <r>
      <t>7/28 (C16)</t>
    </r>
    <r>
      <rPr>
        <sz val="10"/>
        <color rgb="FF000000"/>
        <rFont val="Times New Roman"/>
        <charset val="204"/>
      </rPr>
      <t xml:space="preserve">: Alternate for </t>
    </r>
    <r>
      <rPr>
        <b/>
        <sz val="10"/>
        <color rgb="FF000000"/>
        <rFont val="Times New Roman"/>
        <charset val="204"/>
      </rPr>
      <t>153</t>
    </r>
    <r>
      <rPr>
        <sz val="10"/>
        <color rgb="FF000000"/>
        <rFont val="Times New Roman"/>
        <charset val="204"/>
      </rPr>
      <t xml:space="preserve"> SMA SC4400 UP-US; </t>
    </r>
    <r>
      <rPr>
        <b/>
        <sz val="10"/>
        <color rgb="FF000000"/>
        <rFont val="Times New Roman"/>
        <charset val="204"/>
      </rPr>
      <t>50-day</t>
    </r>
    <r>
      <rPr>
        <sz val="10"/>
        <color rgb="FF000000"/>
        <rFont val="Times New Roman"/>
        <charset val="204"/>
      </rPr>
      <t xml:space="preserve"> accelerated commissioning.</t>
    </r>
  </si>
  <si>
    <r>
      <t>8/08 (C14)</t>
    </r>
    <r>
      <rPr>
        <sz val="10"/>
        <color rgb="FF000000"/>
        <rFont val="Times New Roman"/>
        <charset val="204"/>
      </rPr>
      <t xml:space="preserve">: Alternate for </t>
    </r>
    <r>
      <rPr>
        <b/>
        <sz val="10"/>
        <color rgb="FF000000"/>
        <rFont val="Times New Roman"/>
        <charset val="204"/>
      </rPr>
      <t>116</t>
    </r>
    <r>
      <rPr>
        <sz val="10"/>
        <color rgb="FF000000"/>
        <rFont val="Times New Roman"/>
        <charset val="204"/>
      </rPr>
      <t xml:space="preserve"> SMA SC4400 UP-US; </t>
    </r>
    <r>
      <rPr>
        <b/>
        <sz val="10"/>
        <color rgb="FF000000"/>
        <rFont val="Times New Roman"/>
        <charset val="204"/>
      </rPr>
      <t>40-day</t>
    </r>
    <r>
      <rPr>
        <sz val="10"/>
        <color rgb="FF000000"/>
        <rFont val="Times New Roman"/>
        <charset val="204"/>
      </rPr>
      <t xml:space="preserve"> accelerated commissioning.</t>
    </r>
  </si>
  <si>
    <t>55 °C inverter option (statement location)</t>
  </si>
  <si>
    <r>
      <t>7/28 (C17)</t>
    </r>
    <r>
      <rPr>
        <sz val="10"/>
        <color rgb="FF000000"/>
        <rFont val="Times New Roman"/>
        <charset val="204"/>
      </rPr>
      <t>: 55 °C option included.</t>
    </r>
  </si>
  <si>
    <r>
      <t>8/08 (C15)</t>
    </r>
    <r>
      <rPr>
        <sz val="10"/>
        <color rgb="FF000000"/>
        <rFont val="Times New Roman"/>
        <charset val="204"/>
      </rPr>
      <t>: Same statement, renumbered.</t>
    </r>
  </si>
  <si>
    <t>Social management plan</t>
  </si>
  <si>
    <r>
      <t>7/28 (C18)</t>
    </r>
    <r>
      <rPr>
        <sz val="10"/>
        <color rgb="FF000000"/>
        <rFont val="Times New Roman"/>
        <charset val="204"/>
      </rPr>
      <t>: Provided as below-the-line allowance.</t>
    </r>
  </si>
  <si>
    <r>
      <t>8/08 (C16)</t>
    </r>
    <r>
      <rPr>
        <sz val="10"/>
        <color rgb="FF000000"/>
        <rFont val="Times New Roman"/>
        <charset val="204"/>
      </rPr>
      <t>: Same content (renumbered).</t>
    </r>
  </si>
  <si>
    <t>Concurrent east/west start (SWPPP staging deviation)</t>
  </si>
  <si>
    <r>
      <t>7/28 (C19)</t>
    </r>
    <r>
      <rPr>
        <sz val="10"/>
        <color rgb="FF000000"/>
        <rFont val="Times New Roman"/>
        <charset val="204"/>
      </rPr>
      <t>: Start East &amp; West simultaneously; won’t follow SWPPP staging in 30% plan.</t>
    </r>
  </si>
  <si>
    <r>
      <t>8/08 (C17)</t>
    </r>
    <r>
      <rPr>
        <sz val="10"/>
        <color rgb="FF000000"/>
        <rFont val="Times New Roman"/>
        <charset val="204"/>
      </rPr>
      <t>: Same content (renumbered).</t>
    </r>
  </si>
  <si>
    <t>Pre-drill percentage (base price)</t>
  </si>
  <si>
    <r>
      <t>7/28 (C21)</t>
    </r>
    <r>
      <rPr>
        <sz val="10"/>
        <color rgb="FF000000"/>
        <rFont val="Times New Roman"/>
        <charset val="204"/>
      </rPr>
      <t xml:space="preserve">: </t>
    </r>
    <r>
      <rPr>
        <b/>
        <sz val="10"/>
        <color rgb="FF000000"/>
        <rFont val="Times New Roman"/>
        <charset val="204"/>
      </rPr>
      <t>90%</t>
    </r>
    <r>
      <rPr>
        <sz val="10"/>
        <color rgb="FF000000"/>
        <rFont val="Times New Roman"/>
        <charset val="204"/>
      </rPr>
      <t xml:space="preserve"> included; adder for 100%.</t>
    </r>
  </si>
  <si>
    <r>
      <t>8/08 (C18)</t>
    </r>
    <r>
      <rPr>
        <sz val="10"/>
        <color rgb="FF000000"/>
        <rFont val="Times New Roman"/>
        <charset val="204"/>
      </rPr>
      <t xml:space="preserve">: </t>
    </r>
    <r>
      <rPr>
        <b/>
        <sz val="10"/>
        <color rgb="FF000000"/>
        <rFont val="Times New Roman"/>
        <charset val="204"/>
      </rPr>
      <t>93%</t>
    </r>
    <r>
      <rPr>
        <sz val="10"/>
        <color rgb="FF000000"/>
        <rFont val="Times New Roman"/>
        <charset val="204"/>
      </rPr>
      <t xml:space="preserve"> included; adder for 100%.</t>
    </r>
  </si>
  <si>
    <t>Debris removal beyond 30% design</t>
  </si>
  <si>
    <r>
      <t>7/28 (C22)</t>
    </r>
    <r>
      <rPr>
        <sz val="10"/>
        <color rgb="FF000000"/>
        <rFont val="Times New Roman"/>
        <charset val="204"/>
      </rPr>
      <t>: Listed.</t>
    </r>
  </si>
  <si>
    <r>
      <t>8/08 (C19)</t>
    </r>
    <r>
      <rPr>
        <sz val="10"/>
        <color rgb="FF000000"/>
        <rFont val="Times New Roman"/>
        <charset val="204"/>
      </rPr>
      <t>: Listed (renumbered).</t>
    </r>
  </si>
  <si>
    <t>Tracker stringing approach (new in 8/08)</t>
  </si>
  <si>
    <r>
      <t>8/08 (C8)</t>
    </r>
    <r>
      <rPr>
        <sz val="10"/>
        <color rgb="FF000000"/>
        <rFont val="Times New Roman"/>
        <charset val="204"/>
      </rPr>
      <t xml:space="preserve">: Switch to </t>
    </r>
    <r>
      <rPr>
        <b/>
        <sz val="10"/>
        <color rgb="FF000000"/>
        <rFont val="Times New Roman"/>
        <charset val="204"/>
      </rPr>
      <t>4-string trackers</t>
    </r>
    <r>
      <rPr>
        <sz val="10"/>
        <color rgb="FF000000"/>
        <rFont val="Times New Roman"/>
        <charset val="204"/>
      </rPr>
      <t xml:space="preserve">; counts: </t>
    </r>
    <r>
      <rPr>
        <b/>
        <sz val="10"/>
        <color rgb="FF000000"/>
        <rFont val="Times New Roman"/>
        <charset val="204"/>
      </rPr>
      <t>8,403 (4-string), 232 (3-string), 1,520 (2-string)</t>
    </r>
    <r>
      <rPr>
        <sz val="10"/>
        <color rgb="FF000000"/>
        <rFont val="Times New Roman"/>
        <charset val="204"/>
      </rPr>
      <t>. (No 7/28 counterpart.)</t>
    </r>
  </si>
  <si>
    <t>PV Exclusions — Differences</t>
  </si>
  <si>
    <t>Module washing “below-the-line” option explicitly added</t>
  </si>
  <si>
    <r>
      <t>7/28 (E4)</t>
    </r>
    <r>
      <rPr>
        <sz val="10"/>
        <color rgb="FF000000"/>
        <rFont val="Times New Roman"/>
        <charset val="204"/>
      </rPr>
      <t>: Excludes module washing during/after install.</t>
    </r>
  </si>
  <si>
    <r>
      <t>8/08 (E8)</t>
    </r>
    <r>
      <rPr>
        <sz val="10"/>
        <color rgb="FF000000"/>
        <rFont val="Times New Roman"/>
        <charset val="204"/>
      </rPr>
      <t xml:space="preserve">: Restates exclusion </t>
    </r>
    <r>
      <rPr>
        <b/>
        <sz val="10"/>
        <color rgb="FF000000"/>
        <rFont val="Times New Roman"/>
        <charset val="204"/>
      </rPr>
      <t>and</t>
    </r>
    <r>
      <rPr>
        <sz val="10"/>
        <color rgb="FF000000"/>
        <rFont val="Times New Roman"/>
        <charset val="204"/>
      </rPr>
      <t xml:space="preserve"> adds </t>
    </r>
    <r>
      <rPr>
        <b/>
        <sz val="10"/>
        <color rgb="FF000000"/>
        <rFont val="Times New Roman"/>
        <charset val="204"/>
      </rPr>
      <t>below-the-line one-time</t>
    </r>
    <r>
      <rPr>
        <sz val="10"/>
        <color rgb="FF000000"/>
        <rFont val="Times New Roman"/>
        <charset val="204"/>
      </rPr>
      <t xml:space="preserve"> mobilization &amp; wash option TBD.</t>
    </r>
  </si>
  <si>
    <t>Back-of-module temperature sensors wording</t>
  </si>
  <si>
    <r>
      <t>7/28 (E8)</t>
    </r>
    <r>
      <rPr>
        <sz val="10"/>
        <color rgb="FF000000"/>
        <rFont val="Times New Roman"/>
        <charset val="204"/>
      </rPr>
      <t xml:space="preserve">: Excluded; references </t>
    </r>
    <r>
      <rPr>
        <b/>
        <sz val="10"/>
        <color rgb="FF000000"/>
        <rFont val="Times New Roman"/>
        <charset val="204"/>
      </rPr>
      <t>PRE</t>
    </r>
    <r>
      <rPr>
        <sz val="10"/>
        <color rgb="FF000000"/>
        <rFont val="Times New Roman"/>
        <charset val="204"/>
      </rPr>
      <t>.</t>
    </r>
  </si>
  <si>
    <r>
      <t>8/08 (E9)</t>
    </r>
    <r>
      <rPr>
        <sz val="10"/>
        <color rgb="FF000000"/>
        <rFont val="Times New Roman"/>
        <charset val="204"/>
      </rPr>
      <t xml:space="preserve">: Same exclusion; refers to </t>
    </r>
    <r>
      <rPr>
        <b/>
        <sz val="10"/>
        <color rgb="FF000000"/>
        <rFont val="Times New Roman"/>
        <charset val="204"/>
      </rPr>
      <t>Primoris</t>
    </r>
    <r>
      <rPr>
        <sz val="10"/>
        <color rgb="FF000000"/>
        <rFont val="Times New Roman"/>
        <charset val="204"/>
      </rPr>
      <t xml:space="preserve"> (editorial name change).</t>
    </r>
  </si>
  <si>
    <r>
      <t>Civil/environmental exclusion list renumbered in 8/08</t>
    </r>
    <r>
      <rPr>
        <sz val="10"/>
        <color rgb="FF000000"/>
        <rFont val="Times New Roman"/>
        <charset val="204"/>
      </rPr>
      <t xml:space="preserve"> (content same, numbering E10–E15).</t>
    </r>
  </si>
  <si>
    <t>Substation — Differences</t>
  </si>
  <si>
    <t>Entity name in assumptions/clarifications</t>
  </si>
  <si>
    <r>
      <t>7/28</t>
    </r>
    <r>
      <rPr>
        <sz val="10"/>
        <color rgb="FF000000"/>
        <rFont val="Times New Roman"/>
        <charset val="204"/>
      </rPr>
      <t xml:space="preserve"> uses </t>
    </r>
    <r>
      <rPr>
        <b/>
        <sz val="10"/>
        <color rgb="FF000000"/>
        <rFont val="Times New Roman"/>
        <charset val="204"/>
      </rPr>
      <t>PPS</t>
    </r>
    <r>
      <rPr>
        <sz val="10"/>
        <color rgb="FF000000"/>
        <rFont val="Times New Roman"/>
        <charset val="204"/>
      </rPr>
      <t xml:space="preserve"> in some substation items.</t>
    </r>
  </si>
  <si>
    <r>
      <t>8/08</t>
    </r>
    <r>
      <rPr>
        <sz val="10"/>
        <color rgb="FF000000"/>
        <rFont val="Times New Roman"/>
        <charset val="204"/>
      </rPr>
      <t xml:space="preserve"> uses </t>
    </r>
    <r>
      <rPr>
        <b/>
        <sz val="10"/>
        <color rgb="FF000000"/>
        <rFont val="Times New Roman"/>
        <charset val="204"/>
      </rPr>
      <t>Primoris</t>
    </r>
    <r>
      <rPr>
        <sz val="10"/>
        <color rgb="FF000000"/>
        <rFont val="Times New Roman"/>
        <charset val="204"/>
      </rPr>
      <t xml:space="preserve">; otherwise </t>
    </r>
    <r>
      <rPr>
        <b/>
        <sz val="10"/>
        <color rgb="FF000000"/>
        <rFont val="Times New Roman"/>
        <charset val="204"/>
      </rPr>
      <t>content matches</t>
    </r>
    <r>
      <rPr>
        <sz val="10"/>
        <color rgb="FF000000"/>
        <rFont val="Times New Roman"/>
        <charset val="204"/>
      </rPr>
      <t xml:space="preserve"> for A1–A2 and C1–C7.</t>
    </r>
  </si>
  <si>
    <r>
      <t>Substation exclusions</t>
    </r>
    <r>
      <rPr>
        <sz val="10"/>
        <color rgb="FF000000"/>
        <rFont val="Times New Roman"/>
        <charset val="204"/>
      </rPr>
      <t xml:space="preserve">: Language materially </t>
    </r>
    <r>
      <rPr>
        <b/>
        <sz val="10"/>
        <color rgb="FF000000"/>
        <rFont val="Times New Roman"/>
        <charset val="204"/>
      </rPr>
      <t>unchanged</t>
    </r>
    <r>
      <rPr>
        <sz val="10"/>
        <color rgb="FF000000"/>
        <rFont val="Times New Roman"/>
        <charset val="204"/>
      </rPr>
      <t xml:space="preserve"> (storage/testing exclusions; rock excavation exclusion).</t>
    </r>
  </si>
  <si>
    <t>MV Overhead — Differences</t>
  </si>
  <si>
    <t>Entity naming</t>
  </si>
  <si>
    <r>
      <t>7/28</t>
    </r>
    <r>
      <rPr>
        <sz val="10"/>
        <color rgb="FF000000"/>
        <rFont val="Times New Roman"/>
        <charset val="204"/>
      </rPr>
      <t xml:space="preserve">: Assumptions &amp; exclusions reference </t>
    </r>
    <r>
      <rPr>
        <b/>
        <sz val="10"/>
        <color rgb="FF000000"/>
        <rFont val="Times New Roman"/>
        <charset val="204"/>
      </rPr>
      <t>PPS</t>
    </r>
    <r>
      <rPr>
        <sz val="10"/>
        <color rgb="FF000000"/>
        <rFont val="Times New Roman"/>
        <charset val="204"/>
      </rPr>
      <t xml:space="preserve"> (ROW laydown, outage crossings, pole/concrete quantities; no rock drilling).</t>
    </r>
  </si>
  <si>
    <r>
      <t>8/08</t>
    </r>
    <r>
      <rPr>
        <sz val="10"/>
        <color rgb="FF000000"/>
        <rFont val="Times New Roman"/>
        <charset val="204"/>
      </rPr>
      <t xml:space="preserve">: Same technical content appears under </t>
    </r>
    <r>
      <rPr>
        <b/>
        <sz val="10"/>
        <color rgb="FF000000"/>
        <rFont val="Times New Roman"/>
        <charset val="204"/>
      </rPr>
      <t>Primoris</t>
    </r>
    <r>
      <rPr>
        <sz val="10"/>
        <color rgb="FF000000"/>
        <rFont val="Times New Roman"/>
        <charset val="204"/>
      </rPr>
      <t xml:space="preserve"> (wording alignment), no substantive changes noted.</t>
    </r>
  </si>
  <si>
    <t>Summary of the most material shifts</t>
  </si>
  <si>
    <r>
      <t>Design/Calc Inputs</t>
    </r>
    <r>
      <rPr>
        <sz val="10"/>
        <color rgb="FF000000"/>
        <rFont val="Times New Roman"/>
        <charset val="204"/>
      </rPr>
      <t xml:space="preserve">: PF </t>
    </r>
    <r>
      <rPr>
        <b/>
        <sz val="10"/>
        <color rgb="FF000000"/>
        <rFont val="Times New Roman"/>
        <charset val="204"/>
      </rPr>
      <t>0.94 → 0.92</t>
    </r>
    <r>
      <rPr>
        <sz val="10"/>
        <color rgb="FF000000"/>
        <rFont val="Times New Roman"/>
        <charset val="204"/>
      </rPr>
      <t xml:space="preserve">; embedment </t>
    </r>
    <r>
      <rPr>
        <b/>
        <sz val="10"/>
        <color rgb="FF000000"/>
        <rFont val="Times New Roman"/>
        <charset val="204"/>
      </rPr>
      <t>9' → 8'</t>
    </r>
    <r>
      <rPr>
        <sz val="10"/>
        <color rgb="FF000000"/>
        <rFont val="Times New Roman"/>
        <charset val="204"/>
      </rPr>
      <t xml:space="preserve">; ampacity basis moved to </t>
    </r>
    <r>
      <rPr>
        <b/>
        <sz val="10"/>
        <color rgb="FF000000"/>
        <rFont val="Times New Roman"/>
        <charset val="204"/>
      </rPr>
      <t>geotech thermal</t>
    </r>
    <r>
      <rPr>
        <sz val="10"/>
        <color rgb="FF000000"/>
        <rFont val="Times New Roman"/>
        <charset val="204"/>
      </rPr>
      <t xml:space="preserve">; added </t>
    </r>
    <r>
      <rPr>
        <b/>
        <sz val="10"/>
        <color rgb="FF000000"/>
        <rFont val="Times New Roman"/>
        <charset val="204"/>
      </rPr>
      <t>trefoil</t>
    </r>
    <r>
      <rPr>
        <sz val="10"/>
        <color rgb="FF000000"/>
        <rFont val="Times New Roman"/>
        <charset val="204"/>
      </rPr>
      <t xml:space="preserve"> and </t>
    </r>
    <r>
      <rPr>
        <b/>
        <sz val="10"/>
        <color rgb="FF000000"/>
        <rFont val="Times New Roman"/>
        <charset val="204"/>
      </rPr>
      <t>spiderplow</t>
    </r>
    <r>
      <rPr>
        <sz val="10"/>
        <color rgb="FF000000"/>
        <rFont val="Times New Roman"/>
        <charset val="204"/>
      </rPr>
      <t xml:space="preserve"> assumptions; </t>
    </r>
    <r>
      <rPr>
        <b/>
        <sz val="10"/>
        <color rgb="FF000000"/>
        <rFont val="Times New Roman"/>
        <charset val="204"/>
      </rPr>
      <t>SMA 55 °C</t>
    </r>
    <r>
      <rPr>
        <sz val="10"/>
        <color rgb="FF000000"/>
        <rFont val="Times New Roman"/>
        <charset val="204"/>
      </rPr>
      <t xml:space="preserve"> explicitly used for skid counts.</t>
    </r>
  </si>
  <si>
    <r>
      <t>Quantities/Logistics</t>
    </r>
    <r>
      <rPr>
        <sz val="10"/>
        <color rgb="FF000000"/>
        <rFont val="Times New Roman"/>
        <charset val="204"/>
      </rPr>
      <t xml:space="preserve">: </t>
    </r>
    <r>
      <rPr>
        <b/>
        <sz val="10"/>
        <color rgb="FF000000"/>
        <rFont val="Times New Roman"/>
        <charset val="204"/>
      </rPr>
      <t>MET/soiling/albedo</t>
    </r>
    <r>
      <rPr>
        <sz val="10"/>
        <color rgb="FF000000"/>
        <rFont val="Times New Roman"/>
        <charset val="204"/>
      </rPr>
      <t xml:space="preserve"> stations </t>
    </r>
    <r>
      <rPr>
        <b/>
        <sz val="10"/>
        <color rgb="FF000000"/>
        <rFont val="Times New Roman"/>
        <charset val="204"/>
      </rPr>
      <t>13/13/5 → 10/10/3</t>
    </r>
    <r>
      <rPr>
        <sz val="10"/>
        <color rgb="FF000000"/>
        <rFont val="Times New Roman"/>
        <charset val="204"/>
      </rPr>
      <t xml:space="preserve">; module delivery </t>
    </r>
    <r>
      <rPr>
        <b/>
        <sz val="10"/>
        <color rgb="FF000000"/>
        <rFont val="Times New Roman"/>
        <charset val="204"/>
      </rPr>
      <t>30 → 18 MW/week</t>
    </r>
    <r>
      <rPr>
        <sz val="10"/>
        <color rgb="FF000000"/>
        <rFont val="Times New Roman"/>
        <charset val="204"/>
      </rPr>
      <t xml:space="preserve">; </t>
    </r>
    <r>
      <rPr>
        <b/>
        <sz val="10"/>
        <color rgb="FF000000"/>
        <rFont val="Times New Roman"/>
        <charset val="204"/>
      </rPr>
      <t>pre-drill</t>
    </r>
    <r>
      <rPr>
        <sz val="10"/>
        <color rgb="FF000000"/>
        <rFont val="Times New Roman"/>
        <charset val="204"/>
      </rPr>
      <t xml:space="preserve"> in base </t>
    </r>
    <r>
      <rPr>
        <b/>
        <sz val="10"/>
        <color rgb="FF000000"/>
        <rFont val="Times New Roman"/>
        <charset val="204"/>
      </rPr>
      <t>90% → 93%</t>
    </r>
    <r>
      <rPr>
        <sz val="10"/>
        <color rgb="FF000000"/>
        <rFont val="Times New Roman"/>
        <charset val="204"/>
      </rPr>
      <t>.</t>
    </r>
  </si>
  <si>
    <r>
      <t>Water</t>
    </r>
    <r>
      <rPr>
        <sz val="10"/>
        <color rgb="FF000000"/>
        <rFont val="Times New Roman"/>
        <charset val="204"/>
      </rPr>
      <t xml:space="preserve">: </t>
    </r>
    <r>
      <rPr>
        <b/>
        <sz val="10"/>
        <color rgb="FF000000"/>
        <rFont val="Times New Roman"/>
        <charset val="204"/>
      </rPr>
      <t>~100M gal → ~80M gal</t>
    </r>
    <r>
      <rPr>
        <sz val="10"/>
        <color rgb="FF000000"/>
        <rFont val="Times New Roman"/>
        <charset val="204"/>
      </rPr>
      <t xml:space="preserve"> (price unchanged).</t>
    </r>
  </si>
  <si>
    <r>
      <t>Basins</t>
    </r>
    <r>
      <rPr>
        <sz val="10"/>
        <color rgb="FF000000"/>
        <rFont val="Times New Roman"/>
        <charset val="204"/>
      </rPr>
      <t>: From “</t>
    </r>
    <r>
      <rPr>
        <b/>
        <sz val="10"/>
        <color rgb="FF000000"/>
        <rFont val="Times New Roman"/>
        <charset val="204"/>
      </rPr>
      <t>temp → permanent</t>
    </r>
    <r>
      <rPr>
        <sz val="10"/>
        <color rgb="FF000000"/>
        <rFont val="Times New Roman"/>
        <charset val="204"/>
      </rPr>
      <t xml:space="preserve"> per 30% (price may change if temp only)” to “</t>
    </r>
    <r>
      <rPr>
        <b/>
        <sz val="10"/>
        <color rgb="FF000000"/>
        <rFont val="Times New Roman"/>
        <charset val="204"/>
      </rPr>
      <t>all temporary</t>
    </r>
    <r>
      <rPr>
        <sz val="10"/>
        <color rgb="FF000000"/>
        <rFont val="Times New Roman"/>
        <charset val="204"/>
      </rPr>
      <t xml:space="preserve"> (price may change if permanent).”</t>
    </r>
  </si>
  <si>
    <r>
      <t>SCADA VE</t>
    </r>
    <r>
      <rPr>
        <sz val="10"/>
        <color rgb="FF000000"/>
        <rFont val="Times New Roman"/>
        <charset val="204"/>
      </rPr>
      <t>: Suggested removal cost deltas reduced (</t>
    </r>
    <r>
      <rPr>
        <b/>
        <sz val="10"/>
        <color rgb="FF000000"/>
        <rFont val="Times New Roman"/>
        <charset val="204"/>
      </rPr>
      <t>$500k → $400k</t>
    </r>
    <r>
      <rPr>
        <sz val="10"/>
        <color rgb="FF000000"/>
        <rFont val="Times New Roman"/>
        <charset val="204"/>
      </rPr>
      <t xml:space="preserve">, </t>
    </r>
    <r>
      <rPr>
        <b/>
        <sz val="10"/>
        <color rgb="FF000000"/>
        <rFont val="Times New Roman"/>
        <charset val="204"/>
      </rPr>
      <t>$200k → $150k</t>
    </r>
    <r>
      <rPr>
        <sz val="10"/>
        <color rgb="FF000000"/>
        <rFont val="Times New Roman"/>
        <charset val="204"/>
      </rPr>
      <t>).</t>
    </r>
  </si>
  <si>
    <r>
      <t>Alt inverter option</t>
    </r>
    <r>
      <rPr>
        <sz val="10"/>
        <color rgb="FF000000"/>
        <rFont val="Times New Roman"/>
        <charset val="204"/>
      </rPr>
      <t xml:space="preserve">: </t>
    </r>
    <r>
      <rPr>
        <b/>
        <sz val="10"/>
        <color rgb="FF000000"/>
        <rFont val="Times New Roman"/>
        <charset val="204"/>
      </rPr>
      <t>153 units / 50-day</t>
    </r>
    <r>
      <rPr>
        <sz val="10"/>
        <color rgb="FF000000"/>
        <rFont val="Times New Roman"/>
        <charset val="204"/>
      </rPr>
      <t xml:space="preserve"> (7/28) → </t>
    </r>
    <r>
      <rPr>
        <b/>
        <sz val="10"/>
        <color rgb="FF000000"/>
        <rFont val="Times New Roman"/>
        <charset val="204"/>
      </rPr>
      <t>116 units / 40-day</t>
    </r>
    <r>
      <rPr>
        <sz val="10"/>
        <color rgb="FF000000"/>
        <rFont val="Times New Roman"/>
        <charset val="204"/>
      </rPr>
      <t xml:space="preserve"> (8/08).</t>
    </r>
  </si>
  <si>
    <r>
      <t>Exclusions (clarity)</t>
    </r>
    <r>
      <rPr>
        <sz val="10"/>
        <color rgb="FF000000"/>
        <rFont val="Times New Roman"/>
        <charset val="204"/>
      </rPr>
      <t xml:space="preserve">: Module washing exclusion now </t>
    </r>
    <r>
      <rPr>
        <b/>
        <sz val="10"/>
        <color rgb="FF000000"/>
        <rFont val="Times New Roman"/>
        <charset val="204"/>
      </rPr>
      <t>adds a defined below-the-line option</t>
    </r>
    <r>
      <rPr>
        <sz val="10"/>
        <color rgb="FF000000"/>
        <rFont val="Times New Roman"/>
        <charset val="204"/>
      </rPr>
      <t xml:space="preserve"> (8/08).</t>
    </r>
  </si>
  <si>
    <t>Change (8/08 vs 7/28)</t>
  </si>
  <si>
    <t>1. Assume average module delivery rate of 30MW/week.</t>
  </si>
  <si>
    <t>Changed: 18 MW/week in 8/08 (was 30).</t>
  </si>
  <si>
    <t>2. An alternate price for procurement, installation and commissiong of 153 SMA model SC4400 UP-US Inverters is offerred. To meet the project schedule an accelerated Commissioning Schedule (50 calendar day duration) and a supply of commissionng spares is recommended.</t>
  </si>
  <si>
    <t>Changed: alternate now 116 SMA SC4400 UP-US with 40-day accelerated commissioning (was 153 units, 50 days).</t>
  </si>
  <si>
    <t>3. The SMA Inverters offerred here include a 55 degree C ambient temperature option.</t>
  </si>
  <si>
    <t>Changed: max embedment 8’ in 8/08 (was 9’); loads basis updated to Nextracker “FT HailPro” 60° stow.</t>
  </si>
  <si>
    <t>1. Pre-drill PLT's was not performed by ANS and pre-drill with an undersize hole will be required to confirm the driven pile design parameters.</t>
  </si>
  <si>
    <t>2. Additional PLT drivability testing will be required to confirm areas of pre-drill for driven pile install.</t>
  </si>
  <si>
    <t>1. Price includes Engineering services for Electrical, Civil, and Structural through IFC.</t>
  </si>
  <si>
    <t>2. Per the exhibit P, no O&amp;M spares are included. The Parties shall enter into a Change Order to amend the Contract Price to include such elected Spare Parts post Notice to Proceed.</t>
  </si>
  <si>
    <r>
      <t>2. The Crescent Archeological Study ("8.</t>
    </r>
    <r>
      <rPr>
        <i/>
        <sz val="10"/>
        <color rgb="FF000000"/>
        <rFont val="Times New Roman"/>
        <charset val="204"/>
      </rPr>
      <t>Crescent-Historical</t>
    </r>
    <r>
      <rPr>
        <sz val="10"/>
        <color rgb="FF000000"/>
        <rFont val="Times New Roman"/>
        <charset val="204"/>
      </rPr>
      <t>-_Archaeological_Study-Final_04-22-2023.pdf") identifies two potential historical structures within the project area. However, it is unknown if the structures are extant and an aerial imagery search does not identify any visible structures. Therefore, Primoris has assumed these structures are no longer extant and do not require avoidance.</t>
    </r>
  </si>
  <si>
    <t>4. Assume tree clearing, chipping and spreading can start anytime. Assume the SWPPP need to be inplace prior to stump removal.</t>
  </si>
  <si>
    <t>1. Primoris has included 520,000 cubic yards of cut and 520,000 cubic yards of fill has been carried per the table on PV-C.02.01. Primoris has assumed that all material will be cut to fill on site and each parcel will be balanced.</t>
  </si>
  <si>
    <t>4. All dirt work is full machine excavation.</t>
  </si>
  <si>
    <t>Changed: 8/08 assumes all basins will be temporary; price may change if permanent basins are required.</t>
  </si>
  <si>
    <t>2. Base bid proposal pricing (based on 30%) does not include cost for fiber roll, rock check dams, or diversion swales since the Westwood 30% drawings do not show these.</t>
  </si>
  <si>
    <t>4. The project schedule dictates we start construction work on the East side of the project and the west side at the same time. Consequently we will not be following the SWPPP staging plan described in the 30 design, drawing PV-C.01.05r1.</t>
  </si>
  <si>
    <t>2. We have included installation and maintenance of the Switchyard/Substation Access Road in our scope. Depending on the construction schedule for the switchyard,the road may be built before our schedule dictates (Mar'26)</t>
  </si>
  <si>
    <t>1. FM1763, CR 105S, and FM 2897S Roads are suitable for construction traffic and may be used for site access.Refer to the provided draft "Site Access Routes" for full breakdown of assumed legths and maintanance plan. Price to be finalized with RUMA final approval. Primoris has also assumed there will be no other construction traffic on these roads during our construction schedule.</t>
  </si>
  <si>
    <t>Includes 6' chain link fence with 1' 3 barbed wires and gates.</t>
  </si>
  <si>
    <t>1. Removal and disposal of existing and/or non-project generated refuse or debris beyond what's described in the 30% design.</t>
  </si>
  <si>
    <t>Changed: base includes 93% pre-drill in 8/08 (adder for 100% remains).</t>
  </si>
  <si>
    <t>"1. Modules considered are LR5-78HBD-545M (Hi-Mo 545W). Modules will be procured and delivered to site by Owner. Primoris will be responsible for</t>
  </si>
  <si>
    <t>offloading, Staging, and Installation of modules."</t>
  </si>
  <si>
    <t>Changed: 8/08 adds a below-the-line one-time mobilization &amp; wash option (TBD).</t>
  </si>
  <si>
    <t>4. Scanning of each barcode on every module installed is excluded.</t>
  </si>
  <si>
    <t>"Price includes Shoals DC Collection System.</t>
  </si>
  <si>
    <t>Installation of PV string wiring is included in 'Furnish &amp; Install PV Wire Harnessing &amp; Combiner Box Disconnects' bid item."</t>
  </si>
  <si>
    <t>Includes purchase &amp; install of Harness, Trunk Bus, LBDs, Splice Boxes.</t>
  </si>
  <si>
    <t>Includes purchase and imstall of cable management system.</t>
  </si>
  <si>
    <t>Native soil will be suitable for backfilling trenches. No costs have been included for imported or engineered backfill.</t>
  </si>
  <si>
    <t>"Price includes rough-in, grounding, and inverter installation.</t>
  </si>
  <si>
    <t>Lightning protection for PV Inverters is excluded."</t>
  </si>
  <si>
    <t>Changed: PF 0.92 assumed in 8/08.</t>
  </si>
  <si>
    <t>Editorial: same CN sizes in 8/08; “bigger than 30% design” remark removed.</t>
  </si>
  <si>
    <t>4. Ground cable size assumed in the design is 7#7AWG which is equivalent to the client mentioned 1/0 Cu.</t>
  </si>
  <si>
    <t>3. 30% MV OH design does not include part numbers or material quantities so estimated quantities were used to determine pricing.</t>
  </si>
  <si>
    <t>"1. Pricing for MET equipment includes design engineering, procurement, installation, and commissioning of the following equipment:</t>
  </si>
  <si>
    <t>13 Zenith MET Stations:</t>
  </si>
  <si>
    <t>-1 GHI Pyranometer, 1 POA Pyranometer, 3 RPOA Pyranometers, 1 All-in-one Weather Sensor, 1 Rain Gauge, 1 Lightning Rod*, 4 Surge Arrestors* (1 per array pyranometer)</t>
  </si>
  <si>
    <t>13 Eclipse Soiling Stations</t>
  </si>
  <si>
    <t>5 Standalone Albedometers:</t>
  </si>
  <si>
    <t>-1 GHI Pyranometer, 1 RGHI Pyranometer</t>
  </si>
  <si>
    <t>*Lightning rod and surge arrestors added at recommendation of MET vendor due to the project being located in an area of elevated lightning risk."</t>
  </si>
  <si>
    <t>"2. SCADA proposal includes the latest exhibits for Crescent PV, which is different from BF2.</t>
  </si>
  <si>
    <t>Based on ask from AES to make suggestions for improvements we have come up with some items and possible approximate cost savings:</t>
  </si>
  <si>
    <t>-Canary Historian ~$500K</t>
  </si>
  <si>
    <t>-Cisco Firewalls ~ $20K</t>
  </si>
  <si>
    <t>-1GB Field Network ~ $200K."</t>
  </si>
  <si>
    <t>Changed: tariffs estimated through end of July 2025 (still below-the-line).</t>
  </si>
  <si>
    <t>"Assumption - A2 - Bid has been prepared based on PRE’s experience in Texas and assumes the following: (1) any executed contract will be considered separated for Texas sales/use tax purposes and (2) AES will provide an executed Texas exemption certificate, Form 01-339. Sales tax has been included on all items consumed/used by the contractor, i.e. construction equipment, consumables, etc. Additionally, bid includes estimated sales tax due on tracker and piles. PRE will coordinate with AES to confirm any exemptions to be claimed, ensure Schedule of Values is separated for Texas sales/use tax purposes,</t>
  </si>
  <si>
    <t>and calculate estimated taxes due. Changes to SOV format and/or exemptions to be claimed may result in a change in Contract Price."</t>
  </si>
  <si>
    <t>"Assumption - A3 - Piles are assumed to be non coated (black steel) ranging from W6X12 up to W6X25, with tracker pile</t>
  </si>
  <si>
    <t>reveal height ranging from 5.25’ to 6’, with a max embedment depth of 9’. The pile sizes are based on Nextracker's HailPro 60 degree stow top of pile loads."</t>
  </si>
  <si>
    <t>Changed: embedment 8’ and loads basis updated to Nextracker “FT HailPro” 60° in 8/08.</t>
  </si>
  <si>
    <t>Changed: 0.92 in 8/08.</t>
  </si>
  <si>
    <t>Changed: ampacity now based on geotech thermal resistivity; trefoil configuration; spiderplow installation; 90% compaction.</t>
  </si>
  <si>
    <t>"Assumption - A6 - MV Rev C cables with concentric neutral size 18#14 AWG is assumed for 500kcmil, 750kcmil and</t>
  </si>
  <si>
    <t>1000kcmil cables and CN size of 17#14 AWG for 4/0 cables. These sizes are bigger than the size mentioned in the client's 30% design."</t>
  </si>
  <si>
    <t>"Assumption - A12 - Primoris has assumed that the on-site water wells can be used for the dust mitigation purpose. Throughout the project duration, Primoris would require ~100 million gallons of water for backfill and dust control. Proposal assumes that the water can be purchased through the landowner at $0.50 per barrel of water. One barrel of water shall be defined as 37 gallons. We have assumed that there is at least one</t>
  </si>
  <si>
    <t>well in East and one in West parcel within the project boundary and each well produces ~100k gallons per day."</t>
  </si>
  <si>
    <t>"Assumption - A13 - FM1763, CR 105S, and FM 2897S Roads are suitable for construction traffic and may be used for site access. Refer to the provided draft ""Site Access Routes"" for full breakdown of assumed lengths and maintenance plan. Price to be finalized with RUMA final approval. Primoris has also assumed there will</t>
  </si>
  <si>
    <t>be no other construction traffic on these roads during our construction schedule."</t>
  </si>
  <si>
    <t>"Assumption - A16 - The proposal does not include any allowance for rock, slurry, or cased/shored excavation. We are assuming dry, stable earth excavation for completion of all excavation activities pending being provided a</t>
  </si>
  <si>
    <t>geotechnical report."</t>
  </si>
  <si>
    <t>Editorial: naming aligned to “Primoris” in 8/08; technical content unchanged.</t>
  </si>
  <si>
    <t>Editorial: naming aligned to “Primoris” in 8/08; content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</si>
</sst>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Times New Roman"/>
      <charset val="204"/>
    </font>
    <font>
      <sz val="10"/>
      <color rgb="FF000000"/>
      <name val="Times New Roman"/>
      <family val="1"/>
    </font>
    <font>
      <sz val="10"/>
      <color rgb="FF000000"/>
      <name val="Times New Roman"/>
      <family val="1"/>
      <charset val="204"/>
    </font>
    <font>
      <b/>
      <sz val="10"/>
      <color rgb="FF000000"/>
      <name val="Times New Roman"/>
      <charset val="204"/>
    </font>
    <font>
      <b/>
      <sz val="18"/>
      <color rgb="FF000000"/>
      <name val="Times New Roman"/>
      <charset val="204"/>
    </font>
    <font>
      <b/>
      <sz val="13.5"/>
      <color rgb="FF000000"/>
      <name val="Times New Roman"/>
      <charset val="204"/>
    </font>
    <font>
      <b/>
      <sz val="16"/>
      <color rgb="FF000000"/>
      <name val="Times New Roman"/>
      <charset val="204"/>
    </font>
    <font>
      <b/>
      <sz val="10"/>
      <color rgb="FF000000"/>
      <name val="Times New Roman"/>
    </font>
    <font>
      <sz val="10"/>
      <color rgb="FF000000"/>
      <name val="Times New Roman"/>
    </font>
    <font>
      <i/>
      <sz val="10"/>
      <color rgb="FF000000"/>
      <name val="Times New Roman"/>
      <charset val="204"/>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5">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xf numFmtId="0" fontId="0" fillId="0" borderId="0" xfId="0" applyAlignment="1">
      <alignment wrapText="1"/>
    </xf>
    <xf numFmtId="0" fontId="2" fillId="0" borderId="0" xfId="0" applyFont="1"/>
    <xf numFmtId="0" fontId="1" fillId="0" borderId="0" xfId="0" applyFont="1" applyAlignment="1">
      <alignment horizontal="left" vertical="top"/>
    </xf>
    <xf numFmtId="0" fontId="2" fillId="0" borderId="0" xfId="0" applyFont="1" applyAlignment="1">
      <alignment wrapText="1"/>
    </xf>
    <xf numFmtId="0" fontId="2"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0" fillId="0" borderId="0" xfId="0" quotePrefix="1" applyAlignment="1">
      <alignment horizontal="left" vertical="top"/>
    </xf>
  </cellXfs>
  <cellStyles count="2">
    <cellStyle name="Normal" xfId="0" builtinId="0"/>
    <cellStyle name="Normal 2" xfId="1" xr:uid="{955DCDA5-1CAF-4C4F-A4F0-A663CC9A5017}"/>
  </cellStyles>
  <dxfs count="4">
    <dxf>
      <numFmt numFmtId="0" formatCode="General"/>
    </dxf>
    <dxf>
      <alignment textRotation="0" wrapText="1" indent="0" justifyLastLine="0" shrinkToFit="0" readingOrder="0"/>
    </dxf>
    <dxf>
      <font>
        <color rgb="FF9C0006"/>
      </font>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3357B1-D3C0-41DD-BB5A-F2CA052D7B31}" name="Table2" displayName="Table2" ref="A1:H157" totalsRowShown="0">
  <autoFilter ref="A1:H157" xr:uid="{CB3357B1-D3C0-41DD-BB5A-F2CA052D7B31}"/>
  <sortState xmlns:xlrd2="http://schemas.microsoft.com/office/spreadsheetml/2017/richdata2" ref="A2:H157">
    <sortCondition descending="1" ref="H1:H157"/>
  </sortState>
  <tableColumns count="8">
    <tableColumn id="1" xr3:uid="{68B6922D-34C7-44E6-9BD8-7EF9181EA1AA}" name="ACE Item" dataDxfId="1"/>
    <tableColumn id="2" xr3:uid="{B330D327-36FD-415D-99FE-AF2CC8942ED9}" name="Scope"/>
    <tableColumn id="3" xr3:uid="{56113188-5950-4119-A540-C17E925ED4AD}" name="Risk?"/>
    <tableColumn id="4" xr3:uid="{33E23CF7-7B5B-4BA3-9FF8-696CA1D19FFB}" name="AES SME"/>
    <tableColumn id="5" xr3:uid="{A6C3FDC7-CFB1-4F8E-805A-13EEEC426EF9}" name="Point Person" dataDxfId="0">
      <calculatedColumnFormula>_xlfn.XLOOKUP(Table2[[#This Row],[AES SME]],Table5[Team Members],Table5[Name])</calculatedColumnFormula>
    </tableColumn>
    <tableColumn id="6" xr3:uid="{6F64D5E6-D625-47D7-8176-86EBDD6DFD9E}" name="Internal Note"/>
    <tableColumn id="7" xr3:uid="{47A767DD-1442-4AAE-AEE3-5FD26826DF8B}" name="Response to EPC"/>
    <tableColumn id="8" xr3:uid="{E4839B0D-36F9-4F47-B0F6-A34C6E2E0771}" name="ACE Item 2025.08.08 Change Lo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494F85-00E7-436E-A1D9-1D3A177E235D}" name="Table5" displayName="Table5" ref="A1:B14" totalsRowShown="0">
  <autoFilter ref="A1:B14" xr:uid="{71494F85-00E7-436E-A1D9-1D3A177E235D}"/>
  <sortState xmlns:xlrd2="http://schemas.microsoft.com/office/spreadsheetml/2017/richdata2" ref="A2:B14">
    <sortCondition descending="1" ref="A1:A14"/>
  </sortState>
  <tableColumns count="2">
    <tableColumn id="1" xr3:uid="{795B98F8-F966-4AD4-9128-A210079F2D82}" name="Team Members"/>
    <tableColumn id="2" xr3:uid="{AAB71AAF-9DF0-4119-8F44-907CDEC45682}" name="Nam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20802-9665-4916-B24C-810575634328}">
  <dimension ref="A1:H157"/>
  <sheetViews>
    <sheetView tabSelected="1" zoomScaleNormal="100" workbookViewId="0">
      <pane xSplit="1" ySplit="1" topLeftCell="B2" activePane="bottomRight" state="frozen"/>
      <selection pane="bottomRight" activeCell="A51" sqref="A51"/>
      <selection pane="bottomLeft" activeCell="A2" sqref="A2"/>
      <selection pane="topRight" activeCell="B1" sqref="B1"/>
    </sheetView>
  </sheetViews>
  <sheetFormatPr defaultColWidth="9" defaultRowHeight="12.75"/>
  <cols>
    <col min="1" max="1" width="93.33203125" style="1" customWidth="1"/>
    <col min="2" max="2" width="55.83203125" bestFit="1" customWidth="1"/>
    <col min="3" max="4" width="22.1640625" customWidth="1"/>
    <col min="5" max="5" width="21" bestFit="1" customWidth="1"/>
    <col min="6" max="6" width="60.1640625" style="1" customWidth="1"/>
    <col min="7" max="7" width="45.83203125" style="1" customWidth="1"/>
    <col min="8" max="8" width="68.1640625" customWidth="1"/>
    <col min="9" max="9" width="21" bestFit="1" customWidth="1"/>
    <col min="10" max="10" width="12.1640625" bestFit="1" customWidth="1"/>
  </cols>
  <sheetData>
    <row r="1" spans="1:8">
      <c r="A1" s="4" t="s">
        <v>0</v>
      </c>
      <c r="B1" s="3" t="s">
        <v>1</v>
      </c>
      <c r="C1" s="3" t="s">
        <v>2</v>
      </c>
      <c r="D1" s="3" t="s">
        <v>3</v>
      </c>
      <c r="E1" s="3" t="s">
        <v>4</v>
      </c>
      <c r="F1" s="4" t="s">
        <v>5</v>
      </c>
      <c r="G1" s="4" t="s">
        <v>6</v>
      </c>
      <c r="H1" s="3" t="s">
        <v>7</v>
      </c>
    </row>
    <row r="2" spans="1:8" ht="36.75">
      <c r="A2" s="4" t="s">
        <v>8</v>
      </c>
      <c r="B2" s="3" t="s">
        <v>9</v>
      </c>
      <c r="C2" s="3" t="s">
        <v>10</v>
      </c>
      <c r="D2" s="3" t="s">
        <v>11</v>
      </c>
      <c r="E2" s="3" t="str">
        <f>_xlfn.XLOOKUP(Table2[[#This Row],[AES SME]],Table5[Team Members],Table5[Name])</f>
        <v>Sam Desai</v>
      </c>
      <c r="F2" s="7" t="s">
        <v>12</v>
      </c>
      <c r="G2" s="4" t="s">
        <v>13</v>
      </c>
      <c r="H2" s="1" t="s">
        <v>14</v>
      </c>
    </row>
    <row r="3" spans="1:8" ht="36.75">
      <c r="A3" s="7" t="s">
        <v>15</v>
      </c>
      <c r="B3" s="3" t="s">
        <v>16</v>
      </c>
      <c r="C3" s="3" t="s">
        <v>17</v>
      </c>
      <c r="D3" s="3" t="s">
        <v>11</v>
      </c>
      <c r="E3" s="3" t="str">
        <f>_xlfn.XLOOKUP(Table2[[#This Row],[AES SME]],Table5[Team Members],Table5[Name])</f>
        <v>Sam Desai</v>
      </c>
      <c r="F3" s="3"/>
      <c r="G3" s="4"/>
      <c r="H3" s="1" t="s">
        <v>18</v>
      </c>
    </row>
    <row r="4" spans="1:8" ht="36.75">
      <c r="A4" s="4" t="s">
        <v>19</v>
      </c>
      <c r="B4" s="3" t="s">
        <v>16</v>
      </c>
      <c r="C4" s="3" t="s">
        <v>10</v>
      </c>
      <c r="D4" s="3" t="s">
        <v>11</v>
      </c>
      <c r="E4" s="3" t="str">
        <f>_xlfn.XLOOKUP(Table2[[#This Row],[AES SME]],Table5[Team Members],Table5[Name])</f>
        <v>Sam Desai</v>
      </c>
      <c r="F4" s="7" t="s">
        <v>20</v>
      </c>
      <c r="G4" s="4"/>
      <c r="H4" s="1" t="s">
        <v>18</v>
      </c>
    </row>
    <row r="5" spans="1:8" ht="24.75">
      <c r="A5" s="7" t="s">
        <v>21</v>
      </c>
      <c r="B5" s="3" t="s">
        <v>22</v>
      </c>
      <c r="C5" s="3" t="s">
        <v>17</v>
      </c>
      <c r="D5" s="3" t="s">
        <v>11</v>
      </c>
      <c r="E5" s="3" t="str">
        <f>_xlfn.XLOOKUP(Table2[[#This Row],[AES SME]],Table5[Team Members],Table5[Name])</f>
        <v>Sam Desai</v>
      </c>
      <c r="F5" s="5" t="s">
        <v>23</v>
      </c>
      <c r="G5" s="4"/>
      <c r="H5" s="1" t="s">
        <v>24</v>
      </c>
    </row>
    <row r="6" spans="1:8" ht="134.25">
      <c r="A6" s="4" t="s">
        <v>25</v>
      </c>
      <c r="B6" s="3" t="s">
        <v>26</v>
      </c>
      <c r="C6" s="3" t="s">
        <v>17</v>
      </c>
      <c r="D6" s="3" t="s">
        <v>27</v>
      </c>
      <c r="E6" s="3" t="s">
        <v>28</v>
      </c>
      <c r="F6" s="3"/>
      <c r="G6" s="4"/>
      <c r="H6" s="1" t="s">
        <v>29</v>
      </c>
    </row>
    <row r="7" spans="1:8" ht="24.75">
      <c r="A7" s="4" t="s">
        <v>30</v>
      </c>
      <c r="B7" s="3" t="s">
        <v>9</v>
      </c>
      <c r="C7" s="3" t="s">
        <v>31</v>
      </c>
      <c r="D7" s="3"/>
      <c r="E7" s="3">
        <f>_xlfn.XLOOKUP(Table2[[#This Row],[AES SME]],Table5[Team Members],Table5[Name])</f>
        <v>0</v>
      </c>
      <c r="F7" s="3"/>
      <c r="G7" s="4"/>
      <c r="H7" s="1" t="s">
        <v>32</v>
      </c>
    </row>
    <row r="8" spans="1:8" ht="24.75">
      <c r="A8" s="1" t="s">
        <v>33</v>
      </c>
      <c r="B8" t="s">
        <v>34</v>
      </c>
      <c r="C8" t="s">
        <v>31</v>
      </c>
      <c r="E8">
        <f>_xlfn.XLOOKUP(Table2[[#This Row],[AES SME]],Table5[Team Members],Table5[Name])</f>
        <v>0</v>
      </c>
      <c r="H8" s="1" t="s">
        <v>32</v>
      </c>
    </row>
    <row r="9" spans="1:8" ht="72.75">
      <c r="A9" s="7" t="s">
        <v>35</v>
      </c>
      <c r="B9" s="3" t="s">
        <v>26</v>
      </c>
      <c r="C9" s="3" t="s">
        <v>31</v>
      </c>
      <c r="D9" s="3"/>
      <c r="E9" s="3">
        <f>_xlfn.XLOOKUP(Table2[[#This Row],[AES SME]],Table5[Team Members],Table5[Name])</f>
        <v>0</v>
      </c>
      <c r="F9" s="3"/>
      <c r="G9" s="4"/>
      <c r="H9" s="1" t="s">
        <v>36</v>
      </c>
    </row>
    <row r="10" spans="1:8">
      <c r="A10" s="4" t="s">
        <v>37</v>
      </c>
      <c r="B10" s="3" t="s">
        <v>38</v>
      </c>
      <c r="C10" s="3" t="s">
        <v>10</v>
      </c>
      <c r="D10" s="3" t="s">
        <v>39</v>
      </c>
      <c r="E10" s="3" t="str">
        <f>_xlfn.XLOOKUP(Table2[[#This Row],[AES SME]],Table5[Team Members],Table5[Name])</f>
        <v>Jon Coyne</v>
      </c>
      <c r="F10" s="7" t="s">
        <v>40</v>
      </c>
      <c r="G10" s="4" t="str">
        <f>Table2[[#This Row],[Internal Note]]</f>
        <v>Need to include mod washing.</v>
      </c>
      <c r="H10" s="1" t="s">
        <v>41</v>
      </c>
    </row>
    <row r="11" spans="1:8" ht="85.5">
      <c r="A11" s="1" t="s">
        <v>42</v>
      </c>
      <c r="B11" t="s">
        <v>16</v>
      </c>
      <c r="C11" t="s">
        <v>10</v>
      </c>
      <c r="D11" t="s">
        <v>43</v>
      </c>
      <c r="E11" t="str">
        <f>_xlfn.XLOOKUP(Table2[[#This Row],[AES SME]],Table5[Team Members],Table5[Name])</f>
        <v>Page Bolin</v>
      </c>
      <c r="F11" s="8" t="s">
        <v>44</v>
      </c>
      <c r="G11" s="4" t="str">
        <f>Table2[[#This Row],[Internal Note]]</f>
        <v>Need to compare against landowner agreement to determine whether this cost assumption is adequate.  Is water supply adequate to 100M gallon need?</v>
      </c>
      <c r="H11" s="1" t="s">
        <v>45</v>
      </c>
    </row>
    <row r="12" spans="1:8" ht="36.75">
      <c r="A12" s="4" t="s">
        <v>46</v>
      </c>
      <c r="B12" s="3" t="s">
        <v>22</v>
      </c>
      <c r="C12" s="3" t="s">
        <v>31</v>
      </c>
      <c r="D12" s="3"/>
      <c r="E12" s="3">
        <f>_xlfn.XLOOKUP(Table2[[#This Row],[AES SME]],Table5[Team Members],Table5[Name])</f>
        <v>0</v>
      </c>
      <c r="F12" s="3"/>
      <c r="G12" s="4"/>
      <c r="H12" s="1" t="s">
        <v>47</v>
      </c>
    </row>
    <row r="13" spans="1:8">
      <c r="A13" s="4" t="s">
        <v>48</v>
      </c>
      <c r="B13" s="3" t="s">
        <v>38</v>
      </c>
      <c r="C13" s="3" t="s">
        <v>31</v>
      </c>
      <c r="D13" s="3"/>
      <c r="E13" s="3">
        <f>_xlfn.XLOOKUP(Table2[[#This Row],[AES SME]],Table5[Team Members],Table5[Name])</f>
        <v>0</v>
      </c>
      <c r="F13" s="3"/>
      <c r="G13" s="4"/>
      <c r="H13" s="1" t="s">
        <v>49</v>
      </c>
    </row>
    <row r="14" spans="1:8" ht="24.75">
      <c r="A14" s="4" t="s">
        <v>50</v>
      </c>
      <c r="B14" s="3" t="s">
        <v>16</v>
      </c>
      <c r="C14" s="3" t="s">
        <v>17</v>
      </c>
      <c r="D14" s="3" t="s">
        <v>11</v>
      </c>
      <c r="E14" s="3" t="str">
        <f>_xlfn.XLOOKUP(Table2[[#This Row],[AES SME]],Table5[Team Members],Table5[Name])</f>
        <v>Sam Desai</v>
      </c>
      <c r="F14" s="3"/>
      <c r="G14" s="4"/>
      <c r="H14" s="1" t="s">
        <v>51</v>
      </c>
    </row>
    <row r="15" spans="1:8" ht="24.75">
      <c r="A15" s="7" t="s">
        <v>52</v>
      </c>
      <c r="B15" s="3" t="s">
        <v>22</v>
      </c>
      <c r="C15" s="3" t="s">
        <v>10</v>
      </c>
      <c r="D15" s="3" t="s">
        <v>39</v>
      </c>
      <c r="E15" s="3" t="str">
        <f>_xlfn.XLOOKUP(Table2[[#This Row],[AES SME]],Table5[Team Members],Table5[Name])</f>
        <v>Jon Coyne</v>
      </c>
      <c r="F15" s="5" t="s">
        <v>53</v>
      </c>
      <c r="G15" s="7" t="s">
        <v>54</v>
      </c>
      <c r="H15" s="1" t="s">
        <v>55</v>
      </c>
    </row>
    <row r="16" spans="1:8">
      <c r="A16" s="7" t="s">
        <v>56</v>
      </c>
      <c r="B16" s="3" t="s">
        <v>9</v>
      </c>
      <c r="C16" s="3" t="s">
        <v>17</v>
      </c>
      <c r="D16" s="3" t="s">
        <v>11</v>
      </c>
      <c r="E16" s="3" t="str">
        <f>_xlfn.XLOOKUP(Table2[[#This Row],[AES SME]],Table5[Team Members],Table5[Name])</f>
        <v>Sam Desai</v>
      </c>
      <c r="F16" s="3"/>
      <c r="G16" s="4"/>
      <c r="H16" s="7" t="s">
        <v>57</v>
      </c>
    </row>
    <row r="17" spans="1:8" ht="24.75">
      <c r="A17" s="1" t="s">
        <v>58</v>
      </c>
      <c r="B17" t="s">
        <v>9</v>
      </c>
      <c r="C17" t="s">
        <v>10</v>
      </c>
      <c r="D17" t="s">
        <v>59</v>
      </c>
      <c r="E17" t="str">
        <f>_xlfn.XLOOKUP(Table2[[#This Row],[AES SME]],Table5[Team Members],Table5[Name])</f>
        <v>Tyler Hock</v>
      </c>
      <c r="F17" s="8" t="s">
        <v>60</v>
      </c>
      <c r="G17" s="4" t="str">
        <f>Table2[[#This Row],[Internal Note]]</f>
        <v>What is our internal assumption on transmission structure rock drilling?</v>
      </c>
      <c r="H17" s="1"/>
    </row>
    <row r="18" spans="1:8">
      <c r="A18" s="7" t="s">
        <v>61</v>
      </c>
      <c r="B18" s="3" t="s">
        <v>16</v>
      </c>
      <c r="C18" s="3" t="s">
        <v>31</v>
      </c>
      <c r="D18" s="3" t="s">
        <v>11</v>
      </c>
      <c r="E18" s="3" t="str">
        <f>_xlfn.XLOOKUP(Table2[[#This Row],[AES SME]],Table5[Team Members],Table5[Name])</f>
        <v>Sam Desai</v>
      </c>
      <c r="F18" s="3" t="s">
        <v>62</v>
      </c>
      <c r="G18" s="4"/>
      <c r="H18" s="1"/>
    </row>
    <row r="19" spans="1:8" ht="36.75">
      <c r="A19" s="7" t="s">
        <v>63</v>
      </c>
      <c r="B19" s="3" t="s">
        <v>16</v>
      </c>
      <c r="C19" s="3" t="s">
        <v>10</v>
      </c>
      <c r="D19" s="3" t="s">
        <v>11</v>
      </c>
      <c r="E19" s="3" t="str">
        <f>_xlfn.XLOOKUP(Table2[[#This Row],[AES SME]],Table5[Team Members],Table5[Name])</f>
        <v>Sam Desai</v>
      </c>
      <c r="F19" s="7" t="s">
        <v>64</v>
      </c>
      <c r="G19" s="4"/>
      <c r="H19" s="1"/>
    </row>
    <row r="20" spans="1:8" ht="24.75">
      <c r="A20" s="4" t="s">
        <v>65</v>
      </c>
      <c r="B20" s="3" t="s">
        <v>16</v>
      </c>
      <c r="C20" s="3" t="s">
        <v>10</v>
      </c>
      <c r="D20" s="3" t="s">
        <v>11</v>
      </c>
      <c r="E20" s="3" t="str">
        <f>_xlfn.XLOOKUP(Table2[[#This Row],[AES SME]],Table5[Team Members],Table5[Name])</f>
        <v>Sam Desai</v>
      </c>
      <c r="F20" s="5" t="s">
        <v>66</v>
      </c>
      <c r="G20" s="4" t="s">
        <v>67</v>
      </c>
      <c r="H20" s="1"/>
    </row>
    <row r="21" spans="1:8">
      <c r="A21" s="4" t="s">
        <v>68</v>
      </c>
      <c r="B21" s="3" t="s">
        <v>16</v>
      </c>
      <c r="C21" s="3" t="s">
        <v>17</v>
      </c>
      <c r="D21" s="3" t="s">
        <v>11</v>
      </c>
      <c r="E21" s="3" t="str">
        <f>_xlfn.XLOOKUP(Table2[[#This Row],[AES SME]],Table5[Team Members],Table5[Name])</f>
        <v>Sam Desai</v>
      </c>
      <c r="F21" s="5" t="s">
        <v>69</v>
      </c>
      <c r="G21" s="4"/>
      <c r="H21" s="1"/>
    </row>
    <row r="22" spans="1:8" ht="24.75">
      <c r="A22" s="4" t="s">
        <v>70</v>
      </c>
      <c r="B22" s="3" t="s">
        <v>16</v>
      </c>
      <c r="C22" s="3" t="s">
        <v>17</v>
      </c>
      <c r="D22" s="3" t="s">
        <v>11</v>
      </c>
      <c r="E22" s="3" t="str">
        <f>_xlfn.XLOOKUP(Table2[[#This Row],[AES SME]],Table5[Team Members],Table5[Name])</f>
        <v>Sam Desai</v>
      </c>
      <c r="F22" s="5" t="s">
        <v>71</v>
      </c>
      <c r="G22" s="4"/>
      <c r="H22" s="1"/>
    </row>
    <row r="23" spans="1:8">
      <c r="A23" s="4" t="s">
        <v>72</v>
      </c>
      <c r="B23" s="3" t="s">
        <v>16</v>
      </c>
      <c r="C23" s="3" t="s">
        <v>17</v>
      </c>
      <c r="D23" s="3" t="s">
        <v>11</v>
      </c>
      <c r="E23" s="3" t="str">
        <f>_xlfn.XLOOKUP(Table2[[#This Row],[AES SME]],Table5[Team Members],Table5[Name])</f>
        <v>Sam Desai</v>
      </c>
      <c r="F23" s="3"/>
      <c r="G23" s="4"/>
      <c r="H23" s="1"/>
    </row>
    <row r="24" spans="1:8" ht="24.75">
      <c r="A24" s="4" t="s">
        <v>73</v>
      </c>
      <c r="B24" s="3" t="s">
        <v>74</v>
      </c>
      <c r="C24" s="3" t="s">
        <v>31</v>
      </c>
      <c r="D24" s="3" t="s">
        <v>11</v>
      </c>
      <c r="E24" s="3" t="str">
        <f>_xlfn.XLOOKUP(Table2[[#This Row],[AES SME]],Table5[Team Members],Table5[Name])</f>
        <v>Sam Desai</v>
      </c>
      <c r="F24" s="3"/>
      <c r="G24" s="4"/>
      <c r="H24" s="1"/>
    </row>
    <row r="25" spans="1:8" ht="24.75">
      <c r="A25" s="4" t="s">
        <v>75</v>
      </c>
      <c r="B25" s="3" t="s">
        <v>9</v>
      </c>
      <c r="C25" s="3" t="s">
        <v>17</v>
      </c>
      <c r="D25" s="3" t="s">
        <v>11</v>
      </c>
      <c r="E25" s="3" t="str">
        <f>_xlfn.XLOOKUP(Table2[[#This Row],[AES SME]],Table5[Team Members],Table5[Name])</f>
        <v>Sam Desai</v>
      </c>
      <c r="F25" s="3"/>
      <c r="G25" s="4"/>
      <c r="H25" s="1"/>
    </row>
    <row r="26" spans="1:8" ht="36.75">
      <c r="A26" s="4" t="s">
        <v>76</v>
      </c>
      <c r="B26" s="3" t="s">
        <v>9</v>
      </c>
      <c r="C26" s="3" t="s">
        <v>17</v>
      </c>
      <c r="D26" s="3" t="s">
        <v>11</v>
      </c>
      <c r="E26" s="3" t="str">
        <f>_xlfn.XLOOKUP(Table2[[#This Row],[AES SME]],Table5[Team Members],Table5[Name])</f>
        <v>Sam Desai</v>
      </c>
      <c r="F26" s="3"/>
      <c r="G26" s="4"/>
      <c r="H26" s="1"/>
    </row>
    <row r="27" spans="1:8">
      <c r="A27" s="4" t="s">
        <v>77</v>
      </c>
      <c r="B27" s="3" t="s">
        <v>9</v>
      </c>
      <c r="C27" s="3" t="s">
        <v>17</v>
      </c>
      <c r="D27" s="3" t="s">
        <v>11</v>
      </c>
      <c r="E27" s="3" t="str">
        <f>_xlfn.XLOOKUP(Table2[[#This Row],[AES SME]],Table5[Team Members],Table5[Name])</f>
        <v>Sam Desai</v>
      </c>
      <c r="F27" s="3"/>
      <c r="G27" s="4"/>
      <c r="H27" s="1"/>
    </row>
    <row r="28" spans="1:8" ht="24.75">
      <c r="A28" s="4" t="s">
        <v>78</v>
      </c>
      <c r="B28" s="3" t="s">
        <v>26</v>
      </c>
      <c r="C28" s="3" t="s">
        <v>17</v>
      </c>
      <c r="D28" s="3" t="s">
        <v>11</v>
      </c>
      <c r="E28" s="3" t="str">
        <f>_xlfn.XLOOKUP(Table2[[#This Row],[AES SME]],Table5[Team Members],Table5[Name])</f>
        <v>Sam Desai</v>
      </c>
      <c r="F28" s="3"/>
      <c r="G28" s="4"/>
      <c r="H28" s="1"/>
    </row>
    <row r="29" spans="1:8" ht="49.5">
      <c r="A29" s="1" t="s">
        <v>79</v>
      </c>
      <c r="B29" t="s">
        <v>34</v>
      </c>
      <c r="C29" t="s">
        <v>17</v>
      </c>
      <c r="D29" t="s">
        <v>11</v>
      </c>
      <c r="E29" t="str">
        <f>_xlfn.XLOOKUP(Table2[[#This Row],[AES SME]],Table5[Team Members],Table5[Name])</f>
        <v>Sam Desai</v>
      </c>
      <c r="H29" s="1"/>
    </row>
    <row r="30" spans="1:8">
      <c r="A30" s="1" t="s">
        <v>80</v>
      </c>
      <c r="B30" t="s">
        <v>34</v>
      </c>
      <c r="C30" t="s">
        <v>17</v>
      </c>
      <c r="D30" t="s">
        <v>11</v>
      </c>
      <c r="E30" t="str">
        <f>_xlfn.XLOOKUP(Table2[[#This Row],[AES SME]],Table5[Team Members],Table5[Name])</f>
        <v>Sam Desai</v>
      </c>
      <c r="H30" s="1"/>
    </row>
    <row r="31" spans="1:8" ht="49.5">
      <c r="A31" s="1" t="s">
        <v>81</v>
      </c>
      <c r="B31" t="s">
        <v>34</v>
      </c>
      <c r="C31" t="s">
        <v>17</v>
      </c>
      <c r="D31" t="s">
        <v>11</v>
      </c>
      <c r="E31" t="str">
        <f>_xlfn.XLOOKUP(Table2[[#This Row],[AES SME]],Table5[Team Members],Table5[Name])</f>
        <v>Sam Desai</v>
      </c>
      <c r="H31" s="1"/>
    </row>
    <row r="32" spans="1:8">
      <c r="A32" s="1" t="s">
        <v>82</v>
      </c>
      <c r="B32" t="s">
        <v>34</v>
      </c>
      <c r="C32" t="s">
        <v>17</v>
      </c>
      <c r="D32" t="s">
        <v>11</v>
      </c>
      <c r="E32" t="str">
        <f>_xlfn.XLOOKUP(Table2[[#This Row],[AES SME]],Table5[Team Members],Table5[Name])</f>
        <v>Sam Desai</v>
      </c>
      <c r="H32" s="1"/>
    </row>
    <row r="33" spans="1:8">
      <c r="A33" s="1" t="s">
        <v>83</v>
      </c>
      <c r="B33" t="s">
        <v>34</v>
      </c>
      <c r="C33" t="s">
        <v>17</v>
      </c>
      <c r="D33" t="s">
        <v>11</v>
      </c>
      <c r="E33" t="str">
        <f>_xlfn.XLOOKUP(Table2[[#This Row],[AES SME]],Table5[Team Members],Table5[Name])</f>
        <v>Sam Desai</v>
      </c>
      <c r="H33" s="1"/>
    </row>
    <row r="34" spans="1:8" ht="24.75">
      <c r="A34" s="1" t="s">
        <v>84</v>
      </c>
      <c r="B34" t="s">
        <v>16</v>
      </c>
      <c r="C34" t="s">
        <v>17</v>
      </c>
      <c r="D34" t="s">
        <v>11</v>
      </c>
      <c r="E34" t="str">
        <f>_xlfn.XLOOKUP(Table2[[#This Row],[AES SME]],Table5[Team Members],Table5[Name])</f>
        <v>Sam Desai</v>
      </c>
      <c r="H34" s="1"/>
    </row>
    <row r="35" spans="1:8" ht="49.5">
      <c r="A35" s="1" t="s">
        <v>85</v>
      </c>
      <c r="B35" t="s">
        <v>16</v>
      </c>
      <c r="C35" t="s">
        <v>17</v>
      </c>
      <c r="D35" t="s">
        <v>11</v>
      </c>
      <c r="E35" t="str">
        <f>_xlfn.XLOOKUP(Table2[[#This Row],[AES SME]],Table5[Team Members],Table5[Name])</f>
        <v>Sam Desai</v>
      </c>
      <c r="H35" s="1"/>
    </row>
    <row r="36" spans="1:8" ht="97.5">
      <c r="A36" s="4" t="s">
        <v>86</v>
      </c>
      <c r="B36" s="3" t="s">
        <v>87</v>
      </c>
      <c r="C36" s="3" t="s">
        <v>31</v>
      </c>
      <c r="D36" s="3" t="s">
        <v>43</v>
      </c>
      <c r="E36" s="3" t="str">
        <f>_xlfn.XLOOKUP(Table2[[#This Row],[AES SME]],Table5[Team Members],Table5[Name])</f>
        <v>Page Bolin</v>
      </c>
      <c r="F36" s="4" t="s">
        <v>88</v>
      </c>
      <c r="G36" s="4"/>
      <c r="H36" s="1"/>
    </row>
    <row r="37" spans="1:8" ht="24.75">
      <c r="A37" s="4" t="s">
        <v>89</v>
      </c>
      <c r="B37" s="3" t="s">
        <v>16</v>
      </c>
      <c r="C37" s="3" t="s">
        <v>31</v>
      </c>
      <c r="D37" s="3" t="s">
        <v>43</v>
      </c>
      <c r="E37" s="3" t="str">
        <f>_xlfn.XLOOKUP(Table2[[#This Row],[AES SME]],Table5[Team Members],Table5[Name])</f>
        <v>Page Bolin</v>
      </c>
      <c r="F37" s="4" t="s">
        <v>90</v>
      </c>
      <c r="G37" s="4"/>
      <c r="H37" s="1"/>
    </row>
    <row r="38" spans="1:8" ht="24.75">
      <c r="A38" s="4" t="s">
        <v>91</v>
      </c>
      <c r="B38" s="3" t="s">
        <v>16</v>
      </c>
      <c r="C38" s="3" t="s">
        <v>31</v>
      </c>
      <c r="D38" s="3" t="s">
        <v>43</v>
      </c>
      <c r="E38" s="3" t="str">
        <f>_xlfn.XLOOKUP(Table2[[#This Row],[AES SME]],Table5[Team Members],Table5[Name])</f>
        <v>Page Bolin</v>
      </c>
      <c r="F38" s="4" t="s">
        <v>90</v>
      </c>
      <c r="G38" s="4"/>
      <c r="H38" s="1"/>
    </row>
    <row r="39" spans="1:8" ht="97.5">
      <c r="A39" s="4" t="s">
        <v>92</v>
      </c>
      <c r="B39" s="3" t="s">
        <v>16</v>
      </c>
      <c r="C39" s="3" t="s">
        <v>10</v>
      </c>
      <c r="D39" s="3" t="s">
        <v>43</v>
      </c>
      <c r="E39" s="3" t="str">
        <f>_xlfn.XLOOKUP(Table2[[#This Row],[AES SME]],Table5[Team Members],Table5[Name])</f>
        <v>Page Bolin</v>
      </c>
      <c r="F39" s="4" t="s">
        <v>93</v>
      </c>
      <c r="G39" s="4" t="s">
        <v>94</v>
      </c>
      <c r="H39" s="1"/>
    </row>
    <row r="40" spans="1:8" ht="24.75">
      <c r="A40" s="4" t="s">
        <v>95</v>
      </c>
      <c r="B40" s="3" t="s">
        <v>9</v>
      </c>
      <c r="C40" s="3" t="s">
        <v>31</v>
      </c>
      <c r="D40" s="3" t="s">
        <v>43</v>
      </c>
      <c r="E40" s="3" t="str">
        <f>_xlfn.XLOOKUP(Table2[[#This Row],[AES SME]],Table5[Team Members],Table5[Name])</f>
        <v>Page Bolin</v>
      </c>
      <c r="F40" s="4" t="s">
        <v>96</v>
      </c>
      <c r="G40" s="4"/>
      <c r="H40" s="1"/>
    </row>
    <row r="41" spans="1:8" ht="97.5">
      <c r="A41" s="1" t="s">
        <v>97</v>
      </c>
      <c r="B41" t="s">
        <v>87</v>
      </c>
      <c r="C41" t="s">
        <v>31</v>
      </c>
      <c r="D41" t="s">
        <v>43</v>
      </c>
      <c r="E41" t="str">
        <f>_xlfn.XLOOKUP(Table2[[#This Row],[AES SME]],Table5[Team Members],Table5[Name])</f>
        <v>Page Bolin</v>
      </c>
      <c r="F41" s="4" t="s">
        <v>88</v>
      </c>
      <c r="H41" s="1"/>
    </row>
    <row r="42" spans="1:8" ht="147">
      <c r="A42" s="1" t="s">
        <v>98</v>
      </c>
      <c r="B42" t="s">
        <v>16</v>
      </c>
      <c r="C42" t="s">
        <v>10</v>
      </c>
      <c r="D42" t="s">
        <v>43</v>
      </c>
      <c r="E42" t="str">
        <f>_xlfn.XLOOKUP(Table2[[#This Row],[AES SME]],Table5[Team Members],Table5[Name])</f>
        <v>Page Bolin</v>
      </c>
      <c r="F42" s="1" t="s">
        <v>99</v>
      </c>
      <c r="G42" s="1" t="s">
        <v>100</v>
      </c>
      <c r="H42" s="1"/>
    </row>
    <row r="43" spans="1:8" ht="36.75">
      <c r="A43" s="4" t="s">
        <v>101</v>
      </c>
      <c r="B43" s="3" t="s">
        <v>102</v>
      </c>
      <c r="C43" s="3" t="s">
        <v>31</v>
      </c>
      <c r="D43" s="3" t="s">
        <v>103</v>
      </c>
      <c r="E43" s="3" t="str">
        <f>_xlfn.XLOOKUP(Table2[[#This Row],[AES SME]],Table5[Team Members],Table5[Name])</f>
        <v>Naveena Kodakandla</v>
      </c>
      <c r="F43" s="3" t="s">
        <v>104</v>
      </c>
      <c r="G43" s="4"/>
      <c r="H43" s="1"/>
    </row>
    <row r="44" spans="1:8" ht="49.5">
      <c r="A44" s="1" t="s">
        <v>105</v>
      </c>
      <c r="B44" s="3" t="s">
        <v>102</v>
      </c>
      <c r="C44" t="s">
        <v>10</v>
      </c>
      <c r="D44" t="s">
        <v>103</v>
      </c>
      <c r="E44" t="str">
        <f>_xlfn.XLOOKUP(Table2[[#This Row],[AES SME]],Table5[Team Members],Table5[Name])</f>
        <v>Naveena Kodakandla</v>
      </c>
      <c r="F44" s="8" t="s">
        <v>106</v>
      </c>
      <c r="G44" s="4" t="str">
        <f>Table2[[#This Row],[Internal Note]]</f>
        <v>AES to determine allowable guaranteed capacity</v>
      </c>
      <c r="H44" s="1"/>
    </row>
    <row r="45" spans="1:8" ht="61.5">
      <c r="A45" s="4" t="s">
        <v>107</v>
      </c>
      <c r="B45" s="3" t="s">
        <v>16</v>
      </c>
      <c r="C45" s="3" t="s">
        <v>31</v>
      </c>
      <c r="D45" s="3" t="s">
        <v>108</v>
      </c>
      <c r="E45" s="3" t="str">
        <f>_xlfn.XLOOKUP(Table2[[#This Row],[AES SME]],Table5[Team Members],Table5[Name])</f>
        <v>Megan Lisburg</v>
      </c>
      <c r="F45" s="7" t="s">
        <v>109</v>
      </c>
      <c r="G45" s="4"/>
      <c r="H45" s="1"/>
    </row>
    <row r="46" spans="1:8" ht="24.75">
      <c r="A46" s="4" t="s">
        <v>110</v>
      </c>
      <c r="B46" s="3" t="s">
        <v>16</v>
      </c>
      <c r="C46" s="3" t="s">
        <v>31</v>
      </c>
      <c r="D46" s="3" t="s">
        <v>108</v>
      </c>
      <c r="E46" s="3" t="str">
        <f>_xlfn.XLOOKUP(Table2[[#This Row],[AES SME]],Table5[Team Members],Table5[Name])</f>
        <v>Megan Lisburg</v>
      </c>
      <c r="F46" s="3" t="s">
        <v>111</v>
      </c>
      <c r="G46" s="4"/>
      <c r="H46" s="1"/>
    </row>
    <row r="47" spans="1:8" ht="24.75">
      <c r="A47" s="4" t="s">
        <v>112</v>
      </c>
      <c r="B47" s="3" t="s">
        <v>16</v>
      </c>
      <c r="C47" s="3" t="s">
        <v>31</v>
      </c>
      <c r="D47" s="3" t="s">
        <v>108</v>
      </c>
      <c r="E47" s="3" t="str">
        <f>_xlfn.XLOOKUP(Table2[[#This Row],[AES SME]],Table5[Team Members],Table5[Name])</f>
        <v>Megan Lisburg</v>
      </c>
      <c r="F47" s="3" t="s">
        <v>113</v>
      </c>
      <c r="G47" s="4"/>
      <c r="H47" s="1"/>
    </row>
    <row r="48" spans="1:8" ht="36.75">
      <c r="A48" s="4" t="s">
        <v>114</v>
      </c>
      <c r="B48" s="3" t="s">
        <v>16</v>
      </c>
      <c r="C48" s="3" t="s">
        <v>31</v>
      </c>
      <c r="D48" s="3" t="s">
        <v>108</v>
      </c>
      <c r="E48" s="3" t="str">
        <f>_xlfn.XLOOKUP(Table2[[#This Row],[AES SME]],Table5[Team Members],Table5[Name])</f>
        <v>Megan Lisburg</v>
      </c>
      <c r="F48" s="4" t="s">
        <v>115</v>
      </c>
      <c r="G48" s="4"/>
      <c r="H48" s="1"/>
    </row>
    <row r="49" spans="1:8" ht="110.25">
      <c r="A49" s="4" t="s">
        <v>116</v>
      </c>
      <c r="B49" s="3" t="s">
        <v>16</v>
      </c>
      <c r="C49" s="3" t="s">
        <v>31</v>
      </c>
      <c r="D49" s="3" t="s">
        <v>108</v>
      </c>
      <c r="E49" s="3" t="str">
        <f>_xlfn.XLOOKUP(Table2[[#This Row],[AES SME]],Table5[Team Members],Table5[Name])</f>
        <v>Megan Lisburg</v>
      </c>
      <c r="F49" s="4" t="s">
        <v>117</v>
      </c>
      <c r="G49" s="4" t="s">
        <v>118</v>
      </c>
      <c r="H49" s="1"/>
    </row>
    <row r="50" spans="1:8">
      <c r="A50" s="1" t="s">
        <v>119</v>
      </c>
      <c r="B50" t="s">
        <v>16</v>
      </c>
      <c r="C50" t="s">
        <v>31</v>
      </c>
      <c r="D50" t="s">
        <v>120</v>
      </c>
      <c r="E50" t="str">
        <f>_xlfn.XLOOKUP(Table2[[#This Row],[AES SME]],Table5[Team Members],Table5[Name])</f>
        <v>Josh Phillips</v>
      </c>
      <c r="H50" s="1"/>
    </row>
    <row r="51" spans="1:8" ht="122.25">
      <c r="A51" s="1" t="s">
        <v>121</v>
      </c>
      <c r="B51" t="s">
        <v>9</v>
      </c>
      <c r="C51" t="s">
        <v>10</v>
      </c>
      <c r="D51" t="s">
        <v>120</v>
      </c>
      <c r="E51" t="str">
        <f>_xlfn.XLOOKUP(Table2[[#This Row],[AES SME]],Table5[Team Members],Table5[Name])</f>
        <v>Josh Phillips</v>
      </c>
      <c r="F51" s="1" t="s">
        <v>122</v>
      </c>
      <c r="G51" s="1" t="s">
        <v>123</v>
      </c>
      <c r="H51" s="1"/>
    </row>
    <row r="52" spans="1:8">
      <c r="A52" s="4" t="s">
        <v>124</v>
      </c>
      <c r="B52" s="3" t="s">
        <v>22</v>
      </c>
      <c r="C52" s="3" t="s">
        <v>10</v>
      </c>
      <c r="D52" s="3" t="s">
        <v>39</v>
      </c>
      <c r="E52" s="3" t="str">
        <f>_xlfn.XLOOKUP(Table2[[#This Row],[AES SME]],Table5[Team Members],Table5[Name])</f>
        <v>Jon Coyne</v>
      </c>
      <c r="F52" s="5" t="s">
        <v>125</v>
      </c>
      <c r="G52" s="4"/>
      <c r="H52" s="1"/>
    </row>
    <row r="53" spans="1:8" ht="49.5">
      <c r="A53" s="4" t="s">
        <v>126</v>
      </c>
      <c r="B53" s="3" t="s">
        <v>87</v>
      </c>
      <c r="C53" s="3" t="s">
        <v>10</v>
      </c>
      <c r="D53" s="3" t="s">
        <v>39</v>
      </c>
      <c r="E53" s="3" t="str">
        <f>_xlfn.XLOOKUP(Table2[[#This Row],[AES SME]],Table5[Team Members],Table5[Name])</f>
        <v>Jon Coyne</v>
      </c>
      <c r="F53" s="7" t="s">
        <v>127</v>
      </c>
      <c r="G53" s="4"/>
      <c r="H53" s="1"/>
    </row>
    <row r="54" spans="1:8" ht="24.75">
      <c r="A54" s="4" t="s">
        <v>128</v>
      </c>
      <c r="B54" s="3" t="s">
        <v>38</v>
      </c>
      <c r="C54" s="3" t="s">
        <v>10</v>
      </c>
      <c r="D54" s="3" t="s">
        <v>39</v>
      </c>
      <c r="E54" s="3" t="str">
        <f>_xlfn.XLOOKUP(Table2[[#This Row],[AES SME]],Table5[Team Members],Table5[Name])</f>
        <v>Jon Coyne</v>
      </c>
      <c r="F54" s="5" t="s">
        <v>129</v>
      </c>
      <c r="G54" s="4" t="str">
        <f>Table2[[#This Row],[Internal Note]]</f>
        <v>Check against B-1 req, also check with Tax to determine if required</v>
      </c>
      <c r="H54" s="1"/>
    </row>
    <row r="55" spans="1:8" ht="24.75">
      <c r="A55" s="4" t="s">
        <v>130</v>
      </c>
      <c r="B55" s="3" t="s">
        <v>38</v>
      </c>
      <c r="C55" s="3" t="s">
        <v>10</v>
      </c>
      <c r="D55" s="3" t="s">
        <v>39</v>
      </c>
      <c r="E55" s="3" t="str">
        <f>_xlfn.XLOOKUP(Table2[[#This Row],[AES SME]],Table5[Team Members],Table5[Name])</f>
        <v>Jon Coyne</v>
      </c>
      <c r="F55" s="3"/>
      <c r="G55" s="7" t="s">
        <v>131</v>
      </c>
      <c r="H55" s="1"/>
    </row>
    <row r="56" spans="1:8" ht="72.75">
      <c r="A56" s="4" t="s">
        <v>132</v>
      </c>
      <c r="B56" s="3" t="s">
        <v>38</v>
      </c>
      <c r="C56" s="3" t="s">
        <v>10</v>
      </c>
      <c r="D56" s="3" t="s">
        <v>133</v>
      </c>
      <c r="E56" s="3" t="str">
        <f>_xlfn.XLOOKUP(Table2[[#This Row],[AES SME]],Table5[Team Members],Table5[Name])</f>
        <v>Daniela Rojas</v>
      </c>
      <c r="F56" s="7" t="s">
        <v>134</v>
      </c>
      <c r="G56" s="4" t="s">
        <v>135</v>
      </c>
      <c r="H56" s="1"/>
    </row>
    <row r="57" spans="1:8" ht="24.75">
      <c r="A57" s="4" t="s">
        <v>136</v>
      </c>
      <c r="B57" s="3" t="s">
        <v>22</v>
      </c>
      <c r="C57" s="3" t="s">
        <v>10</v>
      </c>
      <c r="D57" s="3" t="s">
        <v>137</v>
      </c>
      <c r="E57" s="3" t="str">
        <f>_xlfn.XLOOKUP(Table2[[#This Row],[AES SME]],Table5[Team Members],Table5[Name])</f>
        <v>Brent Anderson</v>
      </c>
      <c r="F57" s="3"/>
      <c r="G57" s="7" t="s">
        <v>138</v>
      </c>
      <c r="H57" s="1"/>
    </row>
    <row r="58" spans="1:8">
      <c r="A58" s="7" t="s">
        <v>139</v>
      </c>
      <c r="B58" s="3" t="s">
        <v>22</v>
      </c>
      <c r="C58" s="3" t="s">
        <v>31</v>
      </c>
      <c r="D58" s="3"/>
      <c r="E58" s="3">
        <f>_xlfn.XLOOKUP(Table2[[#This Row],[AES SME]],Table5[Team Members],Table5[Name])</f>
        <v>0</v>
      </c>
      <c r="F58" s="3"/>
      <c r="G58" s="4"/>
      <c r="H58" s="1"/>
    </row>
    <row r="59" spans="1:8">
      <c r="A59" s="7" t="s">
        <v>140</v>
      </c>
      <c r="B59" s="3" t="s">
        <v>22</v>
      </c>
      <c r="C59" s="3" t="s">
        <v>31</v>
      </c>
      <c r="D59" s="3"/>
      <c r="E59" s="3">
        <f>_xlfn.XLOOKUP(Table2[[#This Row],[AES SME]],Table5[Team Members],Table5[Name])</f>
        <v>0</v>
      </c>
      <c r="F59" s="3"/>
      <c r="G59" s="4"/>
      <c r="H59" s="1"/>
    </row>
    <row r="60" spans="1:8">
      <c r="A60" s="7" t="s">
        <v>141</v>
      </c>
      <c r="B60" s="3" t="s">
        <v>22</v>
      </c>
      <c r="C60" s="3" t="s">
        <v>31</v>
      </c>
      <c r="D60" s="3"/>
      <c r="E60" s="3">
        <f>_xlfn.XLOOKUP(Table2[[#This Row],[AES SME]],Table5[Team Members],Table5[Name])</f>
        <v>0</v>
      </c>
      <c r="F60" s="3"/>
      <c r="G60" s="4"/>
      <c r="H60" s="1"/>
    </row>
    <row r="61" spans="1:8" ht="24.75">
      <c r="A61" s="7" t="s">
        <v>142</v>
      </c>
      <c r="B61" s="3" t="s">
        <v>34</v>
      </c>
      <c r="C61" s="3" t="s">
        <v>31</v>
      </c>
      <c r="D61" s="3"/>
      <c r="E61" s="3">
        <f>_xlfn.XLOOKUP(Table2[[#This Row],[AES SME]],Table5[Team Members],Table5[Name])</f>
        <v>0</v>
      </c>
      <c r="F61" s="3"/>
      <c r="G61" s="4"/>
      <c r="H61" s="1"/>
    </row>
    <row r="62" spans="1:8">
      <c r="A62" s="4" t="s">
        <v>143</v>
      </c>
      <c r="B62" s="3" t="s">
        <v>34</v>
      </c>
      <c r="C62" s="3" t="s">
        <v>31</v>
      </c>
      <c r="D62" s="3"/>
      <c r="E62" s="3">
        <f>_xlfn.XLOOKUP(Table2[[#This Row],[AES SME]],Table5[Team Members],Table5[Name])</f>
        <v>0</v>
      </c>
      <c r="F62" s="3"/>
      <c r="G62" s="4"/>
      <c r="H62" s="1"/>
    </row>
    <row r="63" spans="1:8">
      <c r="A63" s="4" t="s">
        <v>144</v>
      </c>
      <c r="B63" s="3" t="s">
        <v>34</v>
      </c>
      <c r="C63" s="3" t="s">
        <v>31</v>
      </c>
      <c r="D63" s="3"/>
      <c r="E63" s="3">
        <f>_xlfn.XLOOKUP(Table2[[#This Row],[AES SME]],Table5[Team Members],Table5[Name])</f>
        <v>0</v>
      </c>
      <c r="F63" s="3"/>
      <c r="G63" s="4"/>
      <c r="H63" s="1"/>
    </row>
    <row r="64" spans="1:8" ht="24.75">
      <c r="A64" s="4" t="s">
        <v>145</v>
      </c>
      <c r="B64" s="3" t="s">
        <v>34</v>
      </c>
      <c r="C64" s="3" t="s">
        <v>31</v>
      </c>
      <c r="D64" s="3"/>
      <c r="E64" s="3">
        <f>_xlfn.XLOOKUP(Table2[[#This Row],[AES SME]],Table5[Team Members],Table5[Name])</f>
        <v>0</v>
      </c>
      <c r="F64" s="3"/>
      <c r="G64" s="4"/>
      <c r="H64" s="1"/>
    </row>
    <row r="65" spans="1:8">
      <c r="A65" s="7" t="s">
        <v>146</v>
      </c>
      <c r="B65" s="3" t="s">
        <v>34</v>
      </c>
      <c r="C65" s="3" t="s">
        <v>31</v>
      </c>
      <c r="D65" s="3"/>
      <c r="E65" s="3">
        <f>_xlfn.XLOOKUP(Table2[[#This Row],[AES SME]],Table5[Team Members],Table5[Name])</f>
        <v>0</v>
      </c>
      <c r="F65" s="3"/>
      <c r="G65" s="4"/>
      <c r="H65" s="1"/>
    </row>
    <row r="66" spans="1:8">
      <c r="A66" s="4" t="s">
        <v>147</v>
      </c>
      <c r="B66" s="3" t="s">
        <v>34</v>
      </c>
      <c r="C66" s="3" t="s">
        <v>31</v>
      </c>
      <c r="D66" s="3"/>
      <c r="E66" s="3">
        <f>_xlfn.XLOOKUP(Table2[[#This Row],[AES SME]],Table5[Team Members],Table5[Name])</f>
        <v>0</v>
      </c>
      <c r="F66" s="3"/>
      <c r="G66" s="4"/>
      <c r="H66" s="1"/>
    </row>
    <row r="67" spans="1:8">
      <c r="A67" s="4" t="s">
        <v>148</v>
      </c>
      <c r="B67" s="3" t="s">
        <v>34</v>
      </c>
      <c r="C67" s="3" t="s">
        <v>31</v>
      </c>
      <c r="D67" s="3"/>
      <c r="E67" s="3">
        <f>_xlfn.XLOOKUP(Table2[[#This Row],[AES SME]],Table5[Team Members],Table5[Name])</f>
        <v>0</v>
      </c>
      <c r="F67" s="3"/>
      <c r="G67" s="4"/>
      <c r="H67" s="1"/>
    </row>
    <row r="68" spans="1:8">
      <c r="A68" s="7" t="s">
        <v>149</v>
      </c>
      <c r="B68" s="3" t="s">
        <v>87</v>
      </c>
      <c r="C68" s="3" t="s">
        <v>31</v>
      </c>
      <c r="D68" s="3"/>
      <c r="E68" s="3">
        <f>_xlfn.XLOOKUP(Table2[[#This Row],[AES SME]],Table5[Team Members],Table5[Name])</f>
        <v>0</v>
      </c>
      <c r="F68" s="3"/>
      <c r="G68" s="4"/>
      <c r="H68" s="1"/>
    </row>
    <row r="69" spans="1:8" ht="24.75">
      <c r="A69" s="4" t="s">
        <v>150</v>
      </c>
      <c r="B69" s="3" t="s">
        <v>87</v>
      </c>
      <c r="C69" s="3" t="s">
        <v>31</v>
      </c>
      <c r="D69" s="3"/>
      <c r="E69" s="3">
        <f>_xlfn.XLOOKUP(Table2[[#This Row],[AES SME]],Table5[Team Members],Table5[Name])</f>
        <v>0</v>
      </c>
      <c r="F69" s="3"/>
      <c r="G69" s="4"/>
      <c r="H69" s="1"/>
    </row>
    <row r="70" spans="1:8" ht="36.75">
      <c r="A70" s="7" t="s">
        <v>151</v>
      </c>
      <c r="B70" s="3" t="s">
        <v>16</v>
      </c>
      <c r="C70" s="3" t="s">
        <v>31</v>
      </c>
      <c r="D70" s="3"/>
      <c r="E70" s="3">
        <f>_xlfn.XLOOKUP(Table2[[#This Row],[AES SME]],Table5[Team Members],Table5[Name])</f>
        <v>0</v>
      </c>
      <c r="F70" s="3"/>
      <c r="G70" s="4"/>
      <c r="H70" s="1"/>
    </row>
    <row r="71" spans="1:8">
      <c r="A71" s="7" t="s">
        <v>152</v>
      </c>
      <c r="B71" s="3" t="s">
        <v>16</v>
      </c>
      <c r="C71" s="3" t="s">
        <v>31</v>
      </c>
      <c r="D71" s="3"/>
      <c r="E71" s="3">
        <f>_xlfn.XLOOKUP(Table2[[#This Row],[AES SME]],Table5[Team Members],Table5[Name])</f>
        <v>0</v>
      </c>
      <c r="F71" s="3"/>
      <c r="G71" s="4"/>
      <c r="H71" s="1"/>
    </row>
    <row r="72" spans="1:8">
      <c r="A72" s="4" t="s">
        <v>153</v>
      </c>
      <c r="B72" s="3" t="s">
        <v>16</v>
      </c>
      <c r="C72" s="3" t="s">
        <v>31</v>
      </c>
      <c r="D72" s="3"/>
      <c r="E72" s="3">
        <f>_xlfn.XLOOKUP(Table2[[#This Row],[AES SME]],Table5[Team Members],Table5[Name])</f>
        <v>0</v>
      </c>
      <c r="F72" s="3"/>
      <c r="G72" s="4"/>
      <c r="H72" s="1"/>
    </row>
    <row r="73" spans="1:8" ht="36.75">
      <c r="A73" s="4" t="s">
        <v>154</v>
      </c>
      <c r="B73" s="3" t="s">
        <v>16</v>
      </c>
      <c r="C73" s="3" t="s">
        <v>31</v>
      </c>
      <c r="D73" s="3"/>
      <c r="E73" s="3">
        <f>_xlfn.XLOOKUP(Table2[[#This Row],[AES SME]],Table5[Team Members],Table5[Name])</f>
        <v>0</v>
      </c>
      <c r="F73" s="3"/>
      <c r="G73" s="4"/>
      <c r="H73" s="1"/>
    </row>
    <row r="74" spans="1:8" ht="36.75">
      <c r="A74" s="4" t="s">
        <v>155</v>
      </c>
      <c r="B74" s="3"/>
      <c r="C74" s="3" t="s">
        <v>31</v>
      </c>
      <c r="D74" s="3"/>
      <c r="E74" s="3">
        <f>_xlfn.XLOOKUP(Table2[[#This Row],[AES SME]],Table5[Team Members],Table5[Name])</f>
        <v>0</v>
      </c>
      <c r="F74" s="3"/>
      <c r="G74" s="4"/>
      <c r="H74" s="1"/>
    </row>
    <row r="75" spans="1:8" ht="49.5">
      <c r="A75" s="7" t="s">
        <v>156</v>
      </c>
      <c r="B75" s="3" t="s">
        <v>16</v>
      </c>
      <c r="C75" s="3" t="s">
        <v>31</v>
      </c>
      <c r="D75" s="3"/>
      <c r="E75" s="3">
        <f>_xlfn.XLOOKUP(Table2[[#This Row],[AES SME]],Table5[Team Members],Table5[Name])</f>
        <v>0</v>
      </c>
      <c r="F75" s="3"/>
      <c r="G75" s="4"/>
      <c r="H75" s="1"/>
    </row>
    <row r="76" spans="1:8" ht="24.75">
      <c r="A76" s="7" t="s">
        <v>157</v>
      </c>
      <c r="B76" s="3" t="s">
        <v>16</v>
      </c>
      <c r="C76" s="3" t="s">
        <v>31</v>
      </c>
      <c r="D76" s="3"/>
      <c r="E76" s="3">
        <f>_xlfn.XLOOKUP(Table2[[#This Row],[AES SME]],Table5[Team Members],Table5[Name])</f>
        <v>0</v>
      </c>
      <c r="F76" s="3"/>
      <c r="G76" s="4"/>
      <c r="H76" s="1"/>
    </row>
    <row r="77" spans="1:8" ht="24.75">
      <c r="A77" s="4" t="s">
        <v>158</v>
      </c>
      <c r="B77" s="3" t="s">
        <v>16</v>
      </c>
      <c r="C77" s="3" t="s">
        <v>31</v>
      </c>
      <c r="D77" s="3"/>
      <c r="E77" s="3">
        <f>_xlfn.XLOOKUP(Table2[[#This Row],[AES SME]],Table5[Team Members],Table5[Name])</f>
        <v>0</v>
      </c>
      <c r="F77" s="3"/>
      <c r="G77" s="4"/>
      <c r="H77" s="1"/>
    </row>
    <row r="78" spans="1:8" ht="24.75">
      <c r="A78" s="4" t="s">
        <v>159</v>
      </c>
      <c r="B78" s="3" t="s">
        <v>16</v>
      </c>
      <c r="C78" s="3" t="s">
        <v>31</v>
      </c>
      <c r="D78" s="3"/>
      <c r="E78" s="3">
        <f>_xlfn.XLOOKUP(Table2[[#This Row],[AES SME]],Table5[Team Members],Table5[Name])</f>
        <v>0</v>
      </c>
      <c r="F78" s="3"/>
      <c r="G78" s="4"/>
      <c r="H78" s="1"/>
    </row>
    <row r="79" spans="1:8" ht="24.75">
      <c r="A79" s="4" t="s">
        <v>160</v>
      </c>
      <c r="B79" s="3" t="s">
        <v>38</v>
      </c>
      <c r="C79" s="3" t="s">
        <v>31</v>
      </c>
      <c r="D79" s="3"/>
      <c r="E79" s="3">
        <f>_xlfn.XLOOKUP(Table2[[#This Row],[AES SME]],Table5[Team Members],Table5[Name])</f>
        <v>0</v>
      </c>
      <c r="F79" s="3"/>
      <c r="G79" s="4"/>
      <c r="H79" s="1"/>
    </row>
    <row r="80" spans="1:8" ht="36.75">
      <c r="A80" s="7" t="s">
        <v>161</v>
      </c>
      <c r="B80" s="3" t="s">
        <v>38</v>
      </c>
      <c r="C80" s="3" t="s">
        <v>31</v>
      </c>
      <c r="D80" s="3"/>
      <c r="E80" s="3">
        <f>_xlfn.XLOOKUP(Table2[[#This Row],[AES SME]],Table5[Team Members],Table5[Name])</f>
        <v>0</v>
      </c>
      <c r="F80" s="3"/>
      <c r="G80" s="4"/>
      <c r="H80" s="1"/>
    </row>
    <row r="81" spans="1:8" ht="36.75">
      <c r="A81" s="4" t="s">
        <v>162</v>
      </c>
      <c r="B81" s="3" t="s">
        <v>74</v>
      </c>
      <c r="C81" s="3" t="s">
        <v>31</v>
      </c>
      <c r="D81" s="3"/>
      <c r="E81" s="3">
        <f>_xlfn.XLOOKUP(Table2[[#This Row],[AES SME]],Table5[Team Members],Table5[Name])</f>
        <v>0</v>
      </c>
      <c r="F81" s="3"/>
      <c r="G81" s="4"/>
      <c r="H81" s="1"/>
    </row>
    <row r="82" spans="1:8">
      <c r="A82" s="4" t="s">
        <v>163</v>
      </c>
      <c r="B82" s="3" t="s">
        <v>74</v>
      </c>
      <c r="C82" s="3" t="s">
        <v>31</v>
      </c>
      <c r="D82" s="3"/>
      <c r="E82" s="3">
        <f>_xlfn.XLOOKUP(Table2[[#This Row],[AES SME]],Table5[Team Members],Table5[Name])</f>
        <v>0</v>
      </c>
      <c r="F82" s="3"/>
      <c r="G82" s="4"/>
      <c r="H82" s="1"/>
    </row>
    <row r="83" spans="1:8">
      <c r="A83" s="4" t="s">
        <v>164</v>
      </c>
      <c r="B83" s="3" t="s">
        <v>74</v>
      </c>
      <c r="C83" s="3" t="s">
        <v>31</v>
      </c>
      <c r="D83" s="3"/>
      <c r="E83" s="3">
        <f>_xlfn.XLOOKUP(Table2[[#This Row],[AES SME]],Table5[Team Members],Table5[Name])</f>
        <v>0</v>
      </c>
      <c r="F83" s="3"/>
      <c r="G83" s="4"/>
      <c r="H83" s="1"/>
    </row>
    <row r="84" spans="1:8" ht="24.75">
      <c r="A84" s="4" t="s">
        <v>165</v>
      </c>
      <c r="B84" s="3" t="s">
        <v>9</v>
      </c>
      <c r="C84" s="3" t="s">
        <v>31</v>
      </c>
      <c r="D84" s="3"/>
      <c r="E84" s="3">
        <f>_xlfn.XLOOKUP(Table2[[#This Row],[AES SME]],Table5[Team Members],Table5[Name])</f>
        <v>0</v>
      </c>
      <c r="F84" s="3"/>
      <c r="G84" s="4"/>
      <c r="H84" s="1"/>
    </row>
    <row r="85" spans="1:8">
      <c r="A85" s="7" t="s">
        <v>166</v>
      </c>
      <c r="B85" s="3" t="s">
        <v>9</v>
      </c>
      <c r="C85" s="3" t="s">
        <v>31</v>
      </c>
      <c r="D85" s="3"/>
      <c r="E85" s="3">
        <f>_xlfn.XLOOKUP(Table2[[#This Row],[AES SME]],Table5[Team Members],Table5[Name])</f>
        <v>0</v>
      </c>
      <c r="F85" s="3"/>
      <c r="G85" s="4"/>
      <c r="H85" s="1"/>
    </row>
    <row r="86" spans="1:8">
      <c r="A86" s="4" t="s">
        <v>167</v>
      </c>
      <c r="B86" s="3" t="s">
        <v>9</v>
      </c>
      <c r="C86" s="3" t="s">
        <v>31</v>
      </c>
      <c r="D86" s="3"/>
      <c r="E86" s="3">
        <f>_xlfn.XLOOKUP(Table2[[#This Row],[AES SME]],Table5[Team Members],Table5[Name])</f>
        <v>0</v>
      </c>
      <c r="F86" s="3"/>
      <c r="G86" s="4"/>
      <c r="H86" s="1"/>
    </row>
    <row r="87" spans="1:8" ht="24.75">
      <c r="A87" s="4" t="s">
        <v>168</v>
      </c>
      <c r="B87" s="3" t="s">
        <v>9</v>
      </c>
      <c r="C87" s="3" t="s">
        <v>31</v>
      </c>
      <c r="D87" s="3"/>
      <c r="E87" s="3">
        <f>_xlfn.XLOOKUP(Table2[[#This Row],[AES SME]],Table5[Team Members],Table5[Name])</f>
        <v>0</v>
      </c>
      <c r="F87" s="3"/>
      <c r="G87" s="4"/>
      <c r="H87" s="1"/>
    </row>
    <row r="88" spans="1:8">
      <c r="A88" s="4" t="s">
        <v>169</v>
      </c>
      <c r="B88" s="3" t="s">
        <v>9</v>
      </c>
      <c r="C88" s="3" t="s">
        <v>31</v>
      </c>
      <c r="D88" s="3"/>
      <c r="E88" s="3">
        <f>_xlfn.XLOOKUP(Table2[[#This Row],[AES SME]],Table5[Team Members],Table5[Name])</f>
        <v>0</v>
      </c>
      <c r="F88" s="3"/>
      <c r="G88" s="4"/>
      <c r="H88" s="1"/>
    </row>
    <row r="89" spans="1:8">
      <c r="A89" s="4" t="s">
        <v>170</v>
      </c>
      <c r="B89" s="3" t="s">
        <v>9</v>
      </c>
      <c r="C89" s="3" t="s">
        <v>31</v>
      </c>
      <c r="D89" s="3"/>
      <c r="E89" s="3">
        <f>_xlfn.XLOOKUP(Table2[[#This Row],[AES SME]],Table5[Team Members],Table5[Name])</f>
        <v>0</v>
      </c>
      <c r="F89" s="3"/>
      <c r="G89" s="4"/>
      <c r="H89" s="1"/>
    </row>
    <row r="90" spans="1:8" ht="24.75">
      <c r="A90" s="1" t="s">
        <v>171</v>
      </c>
      <c r="B90" t="s">
        <v>87</v>
      </c>
      <c r="C90" t="s">
        <v>31</v>
      </c>
      <c r="E90">
        <f>_xlfn.XLOOKUP(Table2[[#This Row],[AES SME]],Table5[Team Members],Table5[Name])</f>
        <v>0</v>
      </c>
      <c r="H90" s="1"/>
    </row>
    <row r="91" spans="1:8" ht="24.75">
      <c r="A91" s="1" t="s">
        <v>172</v>
      </c>
      <c r="B91" t="s">
        <v>34</v>
      </c>
      <c r="C91" t="s">
        <v>31</v>
      </c>
      <c r="E91">
        <f>_xlfn.XLOOKUP(Table2[[#This Row],[AES SME]],Table5[Team Members],Table5[Name])</f>
        <v>0</v>
      </c>
      <c r="H91" s="1"/>
    </row>
    <row r="92" spans="1:8">
      <c r="A92" s="1" t="s">
        <v>173</v>
      </c>
      <c r="B92" t="s">
        <v>34</v>
      </c>
      <c r="C92" t="s">
        <v>31</v>
      </c>
      <c r="E92">
        <f>_xlfn.XLOOKUP(Table2[[#This Row],[AES SME]],Table5[Team Members],Table5[Name])</f>
        <v>0</v>
      </c>
      <c r="H92" s="1"/>
    </row>
    <row r="93" spans="1:8">
      <c r="A93" s="1" t="s">
        <v>174</v>
      </c>
      <c r="B93" t="s">
        <v>34</v>
      </c>
      <c r="C93" t="s">
        <v>31</v>
      </c>
      <c r="E93">
        <f>_xlfn.XLOOKUP(Table2[[#This Row],[AES SME]],Table5[Team Members],Table5[Name])</f>
        <v>0</v>
      </c>
      <c r="H93" s="1"/>
    </row>
    <row r="94" spans="1:8" ht="25.5">
      <c r="A94" s="1" t="s">
        <v>175</v>
      </c>
      <c r="B94" t="s">
        <v>16</v>
      </c>
      <c r="E94">
        <f>_xlfn.XLOOKUP(Table2[[#This Row],[AES SME]],Table5[Team Members],Table5[Name])</f>
        <v>0</v>
      </c>
      <c r="F94" s="8" t="s">
        <v>176</v>
      </c>
    </row>
    <row r="95" spans="1:8" ht="63.75">
      <c r="A95" s="1" t="s">
        <v>177</v>
      </c>
      <c r="B95" t="s">
        <v>16</v>
      </c>
      <c r="E95">
        <f>_xlfn.XLOOKUP(Table2[[#This Row],[AES SME]],Table5[Team Members],Table5[Name])</f>
        <v>0</v>
      </c>
      <c r="F95" s="8" t="s">
        <v>176</v>
      </c>
    </row>
    <row r="96" spans="1:8" ht="25.5">
      <c r="A96" s="1" t="s">
        <v>178</v>
      </c>
      <c r="B96" t="s">
        <v>16</v>
      </c>
      <c r="E96">
        <f>_xlfn.XLOOKUP(Table2[[#This Row],[AES SME]],Table5[Team Members],Table5[Name])</f>
        <v>0</v>
      </c>
      <c r="F96" s="8" t="s">
        <v>176</v>
      </c>
    </row>
    <row r="97" spans="1:6" ht="25.5">
      <c r="A97" s="1" t="s">
        <v>179</v>
      </c>
      <c r="B97" t="s">
        <v>16</v>
      </c>
      <c r="E97">
        <f>_xlfn.XLOOKUP(Table2[[#This Row],[AES SME]],Table5[Team Members],Table5[Name])</f>
        <v>0</v>
      </c>
      <c r="F97" s="8" t="s">
        <v>176</v>
      </c>
    </row>
    <row r="98" spans="1:6" ht="25.5">
      <c r="A98" s="1" t="s">
        <v>180</v>
      </c>
      <c r="B98" t="s">
        <v>16</v>
      </c>
      <c r="E98">
        <f>_xlfn.XLOOKUP(Table2[[#This Row],[AES SME]],Table5[Team Members],Table5[Name])</f>
        <v>0</v>
      </c>
      <c r="F98" s="8" t="s">
        <v>176</v>
      </c>
    </row>
    <row r="99" spans="1:6" ht="25.5">
      <c r="A99" s="1" t="s">
        <v>181</v>
      </c>
      <c r="B99" t="s">
        <v>16</v>
      </c>
      <c r="E99">
        <f>_xlfn.XLOOKUP(Table2[[#This Row],[AES SME]],Table5[Team Members],Table5[Name])</f>
        <v>0</v>
      </c>
      <c r="F99" s="8" t="s">
        <v>176</v>
      </c>
    </row>
    <row r="100" spans="1:6" ht="38.25">
      <c r="A100" s="1" t="s">
        <v>182</v>
      </c>
      <c r="B100" t="s">
        <v>16</v>
      </c>
      <c r="E100">
        <f>_xlfn.XLOOKUP(Table2[[#This Row],[AES SME]],Table5[Team Members],Table5[Name])</f>
        <v>0</v>
      </c>
      <c r="F100" s="8" t="s">
        <v>176</v>
      </c>
    </row>
    <row r="101" spans="1:6" ht="25.5">
      <c r="A101" s="1" t="s">
        <v>183</v>
      </c>
      <c r="B101" t="s">
        <v>16</v>
      </c>
      <c r="E101">
        <f>_xlfn.XLOOKUP(Table2[[#This Row],[AES SME]],Table5[Team Members],Table5[Name])</f>
        <v>0</v>
      </c>
      <c r="F101" s="8" t="s">
        <v>176</v>
      </c>
    </row>
    <row r="102" spans="1:6">
      <c r="A102" s="1" t="s">
        <v>184</v>
      </c>
      <c r="B102" t="s">
        <v>16</v>
      </c>
      <c r="E102">
        <f>_xlfn.XLOOKUP(Table2[[#This Row],[AES SME]],Table5[Team Members],Table5[Name])</f>
        <v>0</v>
      </c>
      <c r="F102" s="8" t="s">
        <v>176</v>
      </c>
    </row>
    <row r="103" spans="1:6" ht="25.5">
      <c r="A103" s="1" t="s">
        <v>185</v>
      </c>
      <c r="B103" t="s">
        <v>16</v>
      </c>
      <c r="E103">
        <f>_xlfn.XLOOKUP(Table2[[#This Row],[AES SME]],Table5[Team Members],Table5[Name])</f>
        <v>0</v>
      </c>
      <c r="F103" s="8" t="s">
        <v>176</v>
      </c>
    </row>
    <row r="104" spans="1:6" ht="25.5">
      <c r="A104" s="1" t="s">
        <v>186</v>
      </c>
      <c r="B104" t="s">
        <v>87</v>
      </c>
      <c r="E104">
        <f>_xlfn.XLOOKUP(Table2[[#This Row],[AES SME]],Table5[Team Members],Table5[Name])</f>
        <v>0</v>
      </c>
      <c r="F104" s="8" t="s">
        <v>176</v>
      </c>
    </row>
    <row r="105" spans="1:6">
      <c r="A105" s="1" t="s">
        <v>187</v>
      </c>
      <c r="B105" t="s">
        <v>87</v>
      </c>
      <c r="E105">
        <f>_xlfn.XLOOKUP(Table2[[#This Row],[AES SME]],Table5[Team Members],Table5[Name])</f>
        <v>0</v>
      </c>
      <c r="F105" s="8" t="s">
        <v>176</v>
      </c>
    </row>
    <row r="106" spans="1:6" ht="38.25">
      <c r="A106" s="1" t="s">
        <v>188</v>
      </c>
      <c r="B106" t="s">
        <v>87</v>
      </c>
      <c r="E106">
        <f>_xlfn.XLOOKUP(Table2[[#This Row],[AES SME]],Table5[Team Members],Table5[Name])</f>
        <v>0</v>
      </c>
      <c r="F106" s="8" t="s">
        <v>176</v>
      </c>
    </row>
    <row r="107" spans="1:6" ht="63.75">
      <c r="A107" s="1" t="s">
        <v>189</v>
      </c>
      <c r="B107" t="s">
        <v>87</v>
      </c>
      <c r="E107">
        <f>_xlfn.XLOOKUP(Table2[[#This Row],[AES SME]],Table5[Team Members],Table5[Name])</f>
        <v>0</v>
      </c>
      <c r="F107" s="8" t="s">
        <v>176</v>
      </c>
    </row>
    <row r="108" spans="1:6">
      <c r="A108" s="1" t="s">
        <v>190</v>
      </c>
      <c r="B108" t="s">
        <v>87</v>
      </c>
      <c r="E108">
        <f>_xlfn.XLOOKUP(Table2[[#This Row],[AES SME]],Table5[Team Members],Table5[Name])</f>
        <v>0</v>
      </c>
      <c r="F108" s="8" t="s">
        <v>176</v>
      </c>
    </row>
    <row r="109" spans="1:6" ht="127.5">
      <c r="A109" s="1" t="s">
        <v>191</v>
      </c>
      <c r="B109" t="s">
        <v>34</v>
      </c>
      <c r="E109">
        <f>_xlfn.XLOOKUP(Table2[[#This Row],[AES SME]],Table5[Team Members],Table5[Name])</f>
        <v>0</v>
      </c>
      <c r="F109" s="8" t="s">
        <v>176</v>
      </c>
    </row>
    <row r="110" spans="1:6" ht="76.5">
      <c r="A110" s="1" t="s">
        <v>192</v>
      </c>
      <c r="B110" t="s">
        <v>34</v>
      </c>
      <c r="E110">
        <f>_xlfn.XLOOKUP(Table2[[#This Row],[AES SME]],Table5[Team Members],Table5[Name])</f>
        <v>0</v>
      </c>
      <c r="F110" s="8" t="s">
        <v>176</v>
      </c>
    </row>
    <row r="111" spans="1:6" ht="51">
      <c r="A111" s="1" t="s">
        <v>193</v>
      </c>
      <c r="B111" t="s">
        <v>34</v>
      </c>
      <c r="E111">
        <f>_xlfn.XLOOKUP(Table2[[#This Row],[AES SME]],Table5[Team Members],Table5[Name])</f>
        <v>0</v>
      </c>
      <c r="F111" s="8" t="s">
        <v>176</v>
      </c>
    </row>
    <row r="112" spans="1:6" ht="51">
      <c r="A112" s="1" t="s">
        <v>194</v>
      </c>
      <c r="B112" t="s">
        <v>16</v>
      </c>
      <c r="E112">
        <f>_xlfn.XLOOKUP(Table2[[#This Row],[AES SME]],Table5[Team Members],Table5[Name])</f>
        <v>0</v>
      </c>
      <c r="F112" s="8" t="s">
        <v>176</v>
      </c>
    </row>
    <row r="113" spans="1:6" ht="25.5">
      <c r="A113" s="1" t="s">
        <v>195</v>
      </c>
      <c r="B113" t="s">
        <v>16</v>
      </c>
      <c r="E113">
        <f>_xlfn.XLOOKUP(Table2[[#This Row],[AES SME]],Table5[Team Members],Table5[Name])</f>
        <v>0</v>
      </c>
      <c r="F113" s="8" t="s">
        <v>176</v>
      </c>
    </row>
    <row r="114" spans="1:6">
      <c r="A114" s="1" t="s">
        <v>196</v>
      </c>
      <c r="B114" t="s">
        <v>16</v>
      </c>
      <c r="E114">
        <f>_xlfn.XLOOKUP(Table2[[#This Row],[AES SME]],Table5[Team Members],Table5[Name])</f>
        <v>0</v>
      </c>
      <c r="F114" s="8" t="s">
        <v>176</v>
      </c>
    </row>
    <row r="115" spans="1:6" ht="25.5">
      <c r="A115" s="1" t="s">
        <v>197</v>
      </c>
      <c r="B115" t="s">
        <v>16</v>
      </c>
      <c r="E115">
        <f>_xlfn.XLOOKUP(Table2[[#This Row],[AES SME]],Table5[Team Members],Table5[Name])</f>
        <v>0</v>
      </c>
      <c r="F115" s="8" t="s">
        <v>176</v>
      </c>
    </row>
    <row r="116" spans="1:6" ht="25.5">
      <c r="A116" s="1" t="s">
        <v>198</v>
      </c>
      <c r="B116" t="s">
        <v>16</v>
      </c>
      <c r="E116">
        <f>_xlfn.XLOOKUP(Table2[[#This Row],[AES SME]],Table5[Team Members],Table5[Name])</f>
        <v>0</v>
      </c>
      <c r="F116" s="8" t="s">
        <v>176</v>
      </c>
    </row>
    <row r="117" spans="1:6" ht="25.5">
      <c r="A117" s="1" t="s">
        <v>199</v>
      </c>
      <c r="B117" t="s">
        <v>16</v>
      </c>
      <c r="E117">
        <f>_xlfn.XLOOKUP(Table2[[#This Row],[AES SME]],Table5[Team Members],Table5[Name])</f>
        <v>0</v>
      </c>
      <c r="F117" s="8" t="s">
        <v>176</v>
      </c>
    </row>
    <row r="118" spans="1:6" ht="51">
      <c r="A118" s="1" t="s">
        <v>200</v>
      </c>
      <c r="B118" t="s">
        <v>16</v>
      </c>
      <c r="E118">
        <f>_xlfn.XLOOKUP(Table2[[#This Row],[AES SME]],Table5[Team Members],Table5[Name])</f>
        <v>0</v>
      </c>
      <c r="F118" s="8" t="s">
        <v>176</v>
      </c>
    </row>
    <row r="119" spans="1:6" ht="51">
      <c r="A119" s="1" t="s">
        <v>201</v>
      </c>
      <c r="B119" t="s">
        <v>16</v>
      </c>
      <c r="E119">
        <f>_xlfn.XLOOKUP(Table2[[#This Row],[AES SME]],Table5[Team Members],Table5[Name])</f>
        <v>0</v>
      </c>
      <c r="F119" s="8" t="s">
        <v>176</v>
      </c>
    </row>
    <row r="120" spans="1:6" ht="25.5">
      <c r="A120" s="1" t="s">
        <v>202</v>
      </c>
      <c r="B120" t="s">
        <v>16</v>
      </c>
      <c r="E120">
        <f>_xlfn.XLOOKUP(Table2[[#This Row],[AES SME]],Table5[Team Members],Table5[Name])</f>
        <v>0</v>
      </c>
      <c r="F120" s="8" t="s">
        <v>176</v>
      </c>
    </row>
    <row r="121" spans="1:6" ht="63.75">
      <c r="A121" s="1" t="s">
        <v>203</v>
      </c>
      <c r="B121" t="s">
        <v>16</v>
      </c>
      <c r="E121">
        <f>_xlfn.XLOOKUP(Table2[[#This Row],[AES SME]],Table5[Team Members],Table5[Name])</f>
        <v>0</v>
      </c>
      <c r="F121" s="8" t="s">
        <v>176</v>
      </c>
    </row>
    <row r="122" spans="1:6" ht="51">
      <c r="A122" s="1" t="s">
        <v>204</v>
      </c>
      <c r="B122" t="s">
        <v>16</v>
      </c>
      <c r="E122">
        <f>_xlfn.XLOOKUP(Table2[[#This Row],[AES SME]],Table5[Team Members],Table5[Name])</f>
        <v>0</v>
      </c>
      <c r="F122" s="8" t="s">
        <v>176</v>
      </c>
    </row>
    <row r="123" spans="1:6" ht="38.25">
      <c r="A123" s="1" t="s">
        <v>205</v>
      </c>
      <c r="B123" t="s">
        <v>16</v>
      </c>
      <c r="E123">
        <f>_xlfn.XLOOKUP(Table2[[#This Row],[AES SME]],Table5[Team Members],Table5[Name])</f>
        <v>0</v>
      </c>
      <c r="F123" s="8" t="s">
        <v>176</v>
      </c>
    </row>
    <row r="124" spans="1:6" ht="25.5">
      <c r="A124" s="1" t="s">
        <v>206</v>
      </c>
      <c r="B124" t="s">
        <v>16</v>
      </c>
      <c r="E124">
        <f>_xlfn.XLOOKUP(Table2[[#This Row],[AES SME]],Table5[Team Members],Table5[Name])</f>
        <v>0</v>
      </c>
      <c r="F124" s="8" t="s">
        <v>176</v>
      </c>
    </row>
    <row r="125" spans="1:6" ht="25.5">
      <c r="A125" s="1" t="s">
        <v>207</v>
      </c>
      <c r="B125" t="s">
        <v>16</v>
      </c>
      <c r="E125">
        <f>_xlfn.XLOOKUP(Table2[[#This Row],[AES SME]],Table5[Team Members],Table5[Name])</f>
        <v>0</v>
      </c>
      <c r="F125" s="8" t="s">
        <v>176</v>
      </c>
    </row>
    <row r="126" spans="1:6" ht="25.5">
      <c r="A126" s="1" t="s">
        <v>208</v>
      </c>
      <c r="B126" t="s">
        <v>87</v>
      </c>
      <c r="E126">
        <f>_xlfn.XLOOKUP(Table2[[#This Row],[AES SME]],Table5[Team Members],Table5[Name])</f>
        <v>0</v>
      </c>
      <c r="F126" s="8" t="s">
        <v>176</v>
      </c>
    </row>
    <row r="127" spans="1:6" ht="25.5">
      <c r="A127" s="1" t="s">
        <v>209</v>
      </c>
      <c r="B127" t="s">
        <v>87</v>
      </c>
      <c r="E127">
        <f>_xlfn.XLOOKUP(Table2[[#This Row],[AES SME]],Table5[Team Members],Table5[Name])</f>
        <v>0</v>
      </c>
      <c r="F127" s="8" t="s">
        <v>176</v>
      </c>
    </row>
    <row r="128" spans="1:6">
      <c r="A128" s="1" t="s">
        <v>210</v>
      </c>
      <c r="B128" t="s">
        <v>87</v>
      </c>
      <c r="E128">
        <f>_xlfn.XLOOKUP(Table2[[#This Row],[AES SME]],Table5[Team Members],Table5[Name])</f>
        <v>0</v>
      </c>
      <c r="F128" s="8" t="s">
        <v>176</v>
      </c>
    </row>
    <row r="129" spans="1:6">
      <c r="A129" s="1" t="s">
        <v>211</v>
      </c>
      <c r="B129" t="s">
        <v>87</v>
      </c>
      <c r="E129">
        <f>_xlfn.XLOOKUP(Table2[[#This Row],[AES SME]],Table5[Team Members],Table5[Name])</f>
        <v>0</v>
      </c>
      <c r="F129" s="8" t="s">
        <v>176</v>
      </c>
    </row>
    <row r="130" spans="1:6">
      <c r="A130" s="1" t="s">
        <v>212</v>
      </c>
      <c r="B130" t="s">
        <v>87</v>
      </c>
      <c r="E130">
        <f>_xlfn.XLOOKUP(Table2[[#This Row],[AES SME]],Table5[Team Members],Table5[Name])</f>
        <v>0</v>
      </c>
      <c r="F130" s="8" t="s">
        <v>176</v>
      </c>
    </row>
    <row r="131" spans="1:6">
      <c r="A131" s="1" t="s">
        <v>213</v>
      </c>
      <c r="B131" t="s">
        <v>87</v>
      </c>
      <c r="E131">
        <f>_xlfn.XLOOKUP(Table2[[#This Row],[AES SME]],Table5[Team Members],Table5[Name])</f>
        <v>0</v>
      </c>
      <c r="F131" s="8" t="s">
        <v>176</v>
      </c>
    </row>
    <row r="132" spans="1:6" ht="25.5">
      <c r="A132" s="1" t="s">
        <v>214</v>
      </c>
      <c r="B132" t="s">
        <v>87</v>
      </c>
      <c r="E132">
        <f>_xlfn.XLOOKUP(Table2[[#This Row],[AES SME]],Table5[Team Members],Table5[Name])</f>
        <v>0</v>
      </c>
      <c r="F132" s="8" t="s">
        <v>176</v>
      </c>
    </row>
    <row r="133" spans="1:6" ht="25.5">
      <c r="A133" s="1" t="s">
        <v>215</v>
      </c>
      <c r="B133" t="s">
        <v>26</v>
      </c>
      <c r="E133">
        <f>_xlfn.XLOOKUP(Table2[[#This Row],[AES SME]],Table5[Team Members],Table5[Name])</f>
        <v>0</v>
      </c>
      <c r="F133" s="8" t="s">
        <v>176</v>
      </c>
    </row>
    <row r="134" spans="1:6" ht="25.5">
      <c r="A134" s="1" t="s">
        <v>216</v>
      </c>
      <c r="B134" t="s">
        <v>16</v>
      </c>
      <c r="E134">
        <f>_xlfn.XLOOKUP(Table2[[#This Row],[AES SME]],Table5[Team Members],Table5[Name])</f>
        <v>0</v>
      </c>
      <c r="F134" s="8" t="s">
        <v>176</v>
      </c>
    </row>
    <row r="135" spans="1:6" ht="25.5">
      <c r="A135" s="1" t="s">
        <v>217</v>
      </c>
      <c r="B135" t="s">
        <v>16</v>
      </c>
      <c r="E135">
        <f>_xlfn.XLOOKUP(Table2[[#This Row],[AES SME]],Table5[Team Members],Table5[Name])</f>
        <v>0</v>
      </c>
      <c r="F135" s="8" t="s">
        <v>176</v>
      </c>
    </row>
    <row r="136" spans="1:6" ht="25.5">
      <c r="A136" s="1" t="s">
        <v>218</v>
      </c>
      <c r="B136" t="s">
        <v>16</v>
      </c>
      <c r="E136">
        <f>_xlfn.XLOOKUP(Table2[[#This Row],[AES SME]],Table5[Team Members],Table5[Name])</f>
        <v>0</v>
      </c>
      <c r="F136" s="8" t="s">
        <v>176</v>
      </c>
    </row>
    <row r="137" spans="1:6">
      <c r="A137" s="1" t="s">
        <v>219</v>
      </c>
      <c r="B137" t="s">
        <v>16</v>
      </c>
      <c r="E137">
        <f>_xlfn.XLOOKUP(Table2[[#This Row],[AES SME]],Table5[Team Members],Table5[Name])</f>
        <v>0</v>
      </c>
      <c r="F137" s="8" t="s">
        <v>176</v>
      </c>
    </row>
    <row r="138" spans="1:6">
      <c r="A138" s="1" t="s">
        <v>220</v>
      </c>
      <c r="B138" t="s">
        <v>16</v>
      </c>
      <c r="E138">
        <f>_xlfn.XLOOKUP(Table2[[#This Row],[AES SME]],Table5[Team Members],Table5[Name])</f>
        <v>0</v>
      </c>
      <c r="F138" s="8" t="s">
        <v>176</v>
      </c>
    </row>
    <row r="139" spans="1:6">
      <c r="A139" s="1" t="s">
        <v>221</v>
      </c>
      <c r="B139" t="s">
        <v>16</v>
      </c>
      <c r="E139">
        <f>_xlfn.XLOOKUP(Table2[[#This Row],[AES SME]],Table5[Team Members],Table5[Name])</f>
        <v>0</v>
      </c>
      <c r="F139" s="8" t="s">
        <v>176</v>
      </c>
    </row>
    <row r="140" spans="1:6" ht="25.5">
      <c r="A140" s="1" t="s">
        <v>222</v>
      </c>
      <c r="B140" t="s">
        <v>223</v>
      </c>
      <c r="E140">
        <f>_xlfn.XLOOKUP(Table2[[#This Row],[AES SME]],Table5[Team Members],Table5[Name])</f>
        <v>0</v>
      </c>
      <c r="F140" s="8" t="s">
        <v>176</v>
      </c>
    </row>
    <row r="141" spans="1:6" ht="25.5">
      <c r="A141" s="1" t="s">
        <v>224</v>
      </c>
      <c r="B141" t="s">
        <v>223</v>
      </c>
      <c r="E141">
        <f>_xlfn.XLOOKUP(Table2[[#This Row],[AES SME]],Table5[Team Members],Table5[Name])</f>
        <v>0</v>
      </c>
      <c r="F141" s="8" t="s">
        <v>176</v>
      </c>
    </row>
    <row r="142" spans="1:6">
      <c r="A142" s="1" t="s">
        <v>225</v>
      </c>
      <c r="B142" t="s">
        <v>223</v>
      </c>
      <c r="E142">
        <f>_xlfn.XLOOKUP(Table2[[#This Row],[AES SME]],Table5[Team Members],Table5[Name])</f>
        <v>0</v>
      </c>
      <c r="F142" s="8" t="s">
        <v>176</v>
      </c>
    </row>
    <row r="143" spans="1:6">
      <c r="A143" s="1" t="s">
        <v>226</v>
      </c>
      <c r="B143" t="s">
        <v>223</v>
      </c>
      <c r="E143">
        <f>_xlfn.XLOOKUP(Table2[[#This Row],[AES SME]],Table5[Team Members],Table5[Name])</f>
        <v>0</v>
      </c>
      <c r="F143" s="8" t="s">
        <v>176</v>
      </c>
    </row>
    <row r="144" spans="1:6">
      <c r="A144" s="1" t="s">
        <v>227</v>
      </c>
      <c r="B144" t="s">
        <v>223</v>
      </c>
      <c r="E144">
        <f>_xlfn.XLOOKUP(Table2[[#This Row],[AES SME]],Table5[Team Members],Table5[Name])</f>
        <v>0</v>
      </c>
      <c r="F144" s="8" t="s">
        <v>176</v>
      </c>
    </row>
    <row r="145" spans="1:8">
      <c r="A145" s="1" t="s">
        <v>228</v>
      </c>
      <c r="B145" t="s">
        <v>223</v>
      </c>
      <c r="E145">
        <f>_xlfn.XLOOKUP(Table2[[#This Row],[AES SME]],Table5[Team Members],Table5[Name])</f>
        <v>0</v>
      </c>
      <c r="F145" s="8" t="s">
        <v>176</v>
      </c>
    </row>
    <row r="146" spans="1:8" ht="25.5">
      <c r="A146" s="1" t="s">
        <v>229</v>
      </c>
      <c r="B146" t="s">
        <v>223</v>
      </c>
      <c r="E146">
        <f>_xlfn.XLOOKUP(Table2[[#This Row],[AES SME]],Table5[Team Members],Table5[Name])</f>
        <v>0</v>
      </c>
      <c r="F146" s="8" t="s">
        <v>176</v>
      </c>
    </row>
    <row r="147" spans="1:8" ht="63.75">
      <c r="A147" s="1" t="s">
        <v>230</v>
      </c>
      <c r="B147" t="s">
        <v>223</v>
      </c>
      <c r="E147">
        <f>_xlfn.XLOOKUP(Table2[[#This Row],[AES SME]],Table5[Team Members],Table5[Name])</f>
        <v>0</v>
      </c>
      <c r="F147" s="8" t="s">
        <v>176</v>
      </c>
    </row>
    <row r="148" spans="1:8">
      <c r="A148" s="1" t="s">
        <v>231</v>
      </c>
      <c r="B148" t="s">
        <v>223</v>
      </c>
      <c r="E148">
        <f>_xlfn.XLOOKUP(Table2[[#This Row],[AES SME]],Table5[Team Members],Table5[Name])</f>
        <v>0</v>
      </c>
      <c r="F148" s="8" t="s">
        <v>176</v>
      </c>
    </row>
    <row r="149" spans="1:8">
      <c r="A149" s="1" t="s">
        <v>232</v>
      </c>
      <c r="B149" t="s">
        <v>223</v>
      </c>
      <c r="E149">
        <f>_xlfn.XLOOKUP(Table2[[#This Row],[AES SME]],Table5[Team Members],Table5[Name])</f>
        <v>0</v>
      </c>
      <c r="F149" s="8" t="s">
        <v>176</v>
      </c>
    </row>
    <row r="150" spans="1:8">
      <c r="A150" s="1" t="s">
        <v>233</v>
      </c>
      <c r="B150" t="s">
        <v>223</v>
      </c>
      <c r="E150">
        <f>_xlfn.XLOOKUP(Table2[[#This Row],[AES SME]],Table5[Team Members],Table5[Name])</f>
        <v>0</v>
      </c>
      <c r="F150" s="8" t="s">
        <v>176</v>
      </c>
    </row>
    <row r="151" spans="1:8">
      <c r="A151" s="1" t="s">
        <v>234</v>
      </c>
      <c r="B151" t="s">
        <v>223</v>
      </c>
      <c r="E151">
        <f>_xlfn.XLOOKUP(Table2[[#This Row],[AES SME]],Table5[Team Members],Table5[Name])</f>
        <v>0</v>
      </c>
      <c r="F151" s="8" t="s">
        <v>176</v>
      </c>
    </row>
    <row r="152" spans="1:8">
      <c r="A152" s="1" t="s">
        <v>235</v>
      </c>
      <c r="B152" t="s">
        <v>223</v>
      </c>
      <c r="E152">
        <f>_xlfn.XLOOKUP(Table2[[#This Row],[AES SME]],Table5[Team Members],Table5[Name])</f>
        <v>0</v>
      </c>
      <c r="F152" s="8" t="s">
        <v>176</v>
      </c>
    </row>
    <row r="153" spans="1:8">
      <c r="A153" s="1" t="s">
        <v>236</v>
      </c>
      <c r="B153" t="s">
        <v>16</v>
      </c>
      <c r="C153" t="s">
        <v>31</v>
      </c>
      <c r="E153">
        <f>_xlfn.XLOOKUP(Table2[[#This Row],[AES SME]],Table5[Team Members],Table5[Name])</f>
        <v>0</v>
      </c>
      <c r="H153" s="1"/>
    </row>
    <row r="154" spans="1:8">
      <c r="A154" s="1" t="s">
        <v>237</v>
      </c>
      <c r="B154" t="s">
        <v>16</v>
      </c>
      <c r="C154" t="s">
        <v>31</v>
      </c>
      <c r="E154">
        <f>_xlfn.XLOOKUP(Table2[[#This Row],[AES SME]],Table5[Team Members],Table5[Name])</f>
        <v>0</v>
      </c>
      <c r="H154" s="1"/>
    </row>
    <row r="155" spans="1:8">
      <c r="A155" s="1" t="s">
        <v>238</v>
      </c>
      <c r="B155" t="s">
        <v>9</v>
      </c>
      <c r="C155" t="s">
        <v>31</v>
      </c>
      <c r="E155">
        <f>_xlfn.XLOOKUP(Table2[[#This Row],[AES SME]],Table5[Team Members],Table5[Name])</f>
        <v>0</v>
      </c>
      <c r="H155" s="1"/>
    </row>
    <row r="156" spans="1:8">
      <c r="A156" s="1" t="s">
        <v>239</v>
      </c>
      <c r="B156" t="s">
        <v>9</v>
      </c>
      <c r="C156" t="s">
        <v>31</v>
      </c>
      <c r="E156">
        <f>_xlfn.XLOOKUP(Table2[[#This Row],[AES SME]],Table5[Team Members],Table5[Name])</f>
        <v>0</v>
      </c>
      <c r="H156" s="1"/>
    </row>
    <row r="157" spans="1:8">
      <c r="A157" s="1" t="s">
        <v>240</v>
      </c>
      <c r="B157" t="s">
        <v>9</v>
      </c>
      <c r="C157" t="s">
        <v>31</v>
      </c>
      <c r="E157">
        <f>_xlfn.XLOOKUP(Table2[[#This Row],[AES SME]],Table5[Team Members],Table5[Name])</f>
        <v>0</v>
      </c>
      <c r="H157" s="1"/>
    </row>
  </sheetData>
  <conditionalFormatting sqref="C2:E157">
    <cfRule type="containsText" dxfId="3" priority="1" operator="containsText" text="TBD">
      <formula>NOT(ISERROR(SEARCH("TBD",C2)))</formula>
    </cfRule>
    <cfRule type="containsText" dxfId="2" priority="2" operator="containsText" text="Yes">
      <formula>NOT(ISERROR(SEARCH("Yes",C2)))</formula>
    </cfRule>
  </conditionalFormatting>
  <dataValidations count="2">
    <dataValidation type="list" allowBlank="1" showInputMessage="1" showErrorMessage="1" sqref="D2:D157" xr:uid="{65BCA5AF-60F8-4936-BEE4-1FF92EB083AC}">
      <formula1>"Development Engineer, Execution Engineer, HV Engineer, Permitting, Developer, Interconnection, Real Estate, Execution PM, SCADA Engineer, Legal, Contract Manager, Estimator"</formula1>
    </dataValidation>
    <dataValidation type="list" allowBlank="1" showInputMessage="1" showErrorMessage="1" sqref="C2:C157" xr:uid="{58049402-6B6C-4A57-B805-73B68519E4C8}">
      <formula1>"Yes, No, TBD"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A7E8431-2A09-4A70-9D21-216F3112D758}">
          <x14:formula1>
            <xm:f>'Scope Categories'!$A$1:$A$11</xm:f>
          </x14:formula1>
          <xm:sqref>B2:B9</xm:sqref>
        </x14:dataValidation>
        <x14:dataValidation type="list" allowBlank="1" showInputMessage="1" showErrorMessage="1" xr:uid="{44393DED-5123-4475-BFE0-87B54386A43F}">
          <x14:formula1>
            <xm:f>'Scope Categories'!$A$2:$A$11</xm:f>
          </x14:formula1>
          <xm:sqref>B10:B157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124D-5C7F-4F13-8A02-31440DF0842C}">
  <dimension ref="A1:B14"/>
  <sheetViews>
    <sheetView workbookViewId="0">
      <selection activeCell="D8" sqref="D8"/>
    </sheetView>
  </sheetViews>
  <sheetFormatPr defaultColWidth="9" defaultRowHeight="12.95"/>
  <cols>
    <col min="1" max="1" width="21.83203125" bestFit="1" customWidth="1"/>
    <col min="2" max="2" width="20.33203125" bestFit="1" customWidth="1"/>
  </cols>
  <sheetData>
    <row r="1" spans="1:2">
      <c r="A1" t="s">
        <v>241</v>
      </c>
      <c r="B1" t="s">
        <v>242</v>
      </c>
    </row>
    <row r="2" spans="1:2" ht="12.75">
      <c r="A2" t="s">
        <v>27</v>
      </c>
      <c r="B2" s="2" t="s">
        <v>243</v>
      </c>
    </row>
    <row r="3" spans="1:2" ht="12.75">
      <c r="A3" t="s">
        <v>120</v>
      </c>
      <c r="B3" s="2" t="s">
        <v>244</v>
      </c>
    </row>
    <row r="4" spans="1:2" ht="12.75">
      <c r="A4" t="s">
        <v>108</v>
      </c>
      <c r="B4" s="2" t="s">
        <v>245</v>
      </c>
    </row>
    <row r="5" spans="1:2" ht="12.75">
      <c r="A5" t="s">
        <v>246</v>
      </c>
      <c r="B5" s="2" t="s">
        <v>247</v>
      </c>
    </row>
    <row r="6" spans="1:2" ht="12.75">
      <c r="A6" t="s">
        <v>248</v>
      </c>
      <c r="B6" s="2" t="s">
        <v>249</v>
      </c>
    </row>
    <row r="7" spans="1:2" ht="12.75">
      <c r="A7" t="s">
        <v>59</v>
      </c>
      <c r="B7" s="2" t="s">
        <v>250</v>
      </c>
    </row>
    <row r="8" spans="1:2" ht="12.75">
      <c r="A8" t="s">
        <v>39</v>
      </c>
      <c r="B8" s="2" t="s">
        <v>251</v>
      </c>
    </row>
    <row r="9" spans="1:2" ht="12.75">
      <c r="A9" s="2" t="s">
        <v>103</v>
      </c>
      <c r="B9" s="2" t="s">
        <v>252</v>
      </c>
    </row>
    <row r="10" spans="1:2" ht="12.75">
      <c r="A10" t="s">
        <v>137</v>
      </c>
      <c r="B10" s="2" t="s">
        <v>253</v>
      </c>
    </row>
    <row r="11" spans="1:2" ht="12.75">
      <c r="A11" t="s">
        <v>11</v>
      </c>
      <c r="B11" s="2" t="s">
        <v>28</v>
      </c>
    </row>
    <row r="12" spans="1:2" ht="12.75">
      <c r="A12" t="s">
        <v>43</v>
      </c>
      <c r="B12" s="2" t="s">
        <v>254</v>
      </c>
    </row>
    <row r="13" spans="1:2" ht="12.75">
      <c r="A13" t="s">
        <v>133</v>
      </c>
      <c r="B13" s="2" t="s">
        <v>255</v>
      </c>
    </row>
    <row r="14" spans="1:2">
      <c r="A14"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A84D-0151-4DA7-AF3A-78ECBE39456A}">
  <dimension ref="A1:A11"/>
  <sheetViews>
    <sheetView workbookViewId="0">
      <selection activeCell="I31" sqref="I31"/>
    </sheetView>
  </sheetViews>
  <sheetFormatPr defaultColWidth="9" defaultRowHeight="12.95"/>
  <cols>
    <col min="1" max="1" width="54" bestFit="1" customWidth="1"/>
  </cols>
  <sheetData>
    <row r="1" spans="1:1">
      <c r="A1" s="6" t="s">
        <v>22</v>
      </c>
    </row>
    <row r="2" spans="1:1">
      <c r="A2" t="s">
        <v>256</v>
      </c>
    </row>
    <row r="3" spans="1:1">
      <c r="A3" t="s">
        <v>34</v>
      </c>
    </row>
    <row r="4" spans="1:1">
      <c r="A4" t="s">
        <v>87</v>
      </c>
    </row>
    <row r="5" spans="1:1">
      <c r="A5" t="s">
        <v>16</v>
      </c>
    </row>
    <row r="6" spans="1:1">
      <c r="A6" t="s">
        <v>38</v>
      </c>
    </row>
    <row r="7" spans="1:1">
      <c r="A7" t="s">
        <v>74</v>
      </c>
    </row>
    <row r="8" spans="1:1">
      <c r="A8" t="s">
        <v>9</v>
      </c>
    </row>
    <row r="9" spans="1:1">
      <c r="A9" t="s">
        <v>26</v>
      </c>
    </row>
    <row r="10" spans="1:1">
      <c r="A10" t="s">
        <v>102</v>
      </c>
    </row>
    <row r="11" spans="1:1">
      <c r="A11" t="s">
        <v>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540C-E337-4942-86A4-4E88CE336B3C}">
  <dimension ref="A1:B102"/>
  <sheetViews>
    <sheetView workbookViewId="0">
      <selection activeCell="B33" sqref="B33"/>
    </sheetView>
  </sheetViews>
  <sheetFormatPr defaultRowHeight="12.75"/>
  <cols>
    <col min="1" max="1" width="72.33203125" customWidth="1"/>
    <col min="2" max="2" width="110.1640625" customWidth="1"/>
  </cols>
  <sheetData>
    <row r="1" spans="1:2" ht="20.25">
      <c r="A1" s="12" t="s">
        <v>257</v>
      </c>
    </row>
    <row r="2" spans="1:2">
      <c r="A2" s="9" t="s">
        <v>258</v>
      </c>
    </row>
    <row r="3" spans="1:2">
      <c r="B3" s="9" t="s">
        <v>259</v>
      </c>
    </row>
    <row r="4" spans="1:2">
      <c r="B4" s="9" t="s">
        <v>260</v>
      </c>
    </row>
    <row r="5" spans="1:2">
      <c r="A5" s="9" t="s">
        <v>261</v>
      </c>
    </row>
    <row r="6" spans="1:2">
      <c r="B6" s="9" t="s">
        <v>262</v>
      </c>
    </row>
    <row r="7" spans="1:2">
      <c r="B7" s="13" t="s">
        <v>263</v>
      </c>
    </row>
    <row r="8" spans="1:2">
      <c r="A8" s="9" t="s">
        <v>264</v>
      </c>
    </row>
    <row r="9" spans="1:2">
      <c r="B9" s="9" t="s">
        <v>265</v>
      </c>
    </row>
    <row r="10" spans="1:2">
      <c r="B10" s="9" t="s">
        <v>266</v>
      </c>
    </row>
    <row r="11" spans="1:2">
      <c r="A11" s="9" t="s">
        <v>267</v>
      </c>
    </row>
    <row r="12" spans="1:2">
      <c r="B12" s="9" t="s">
        <v>268</v>
      </c>
    </row>
    <row r="13" spans="1:2">
      <c r="B13" s="9" t="s">
        <v>269</v>
      </c>
    </row>
    <row r="14" spans="1:2">
      <c r="A14" s="9" t="s">
        <v>270</v>
      </c>
    </row>
    <row r="15" spans="1:2">
      <c r="B15" s="9" t="s">
        <v>271</v>
      </c>
    </row>
    <row r="16" spans="1:2">
      <c r="B16" s="9" t="s">
        <v>272</v>
      </c>
    </row>
    <row r="17" spans="1:2">
      <c r="A17" s="9" t="s">
        <v>273</v>
      </c>
    </row>
    <row r="18" spans="1:2">
      <c r="B18" s="9" t="s">
        <v>274</v>
      </c>
    </row>
    <row r="19" spans="1:2">
      <c r="B19" s="9" t="s">
        <v>275</v>
      </c>
    </row>
    <row r="20" spans="1:2">
      <c r="B20" s="9" t="s">
        <v>276</v>
      </c>
    </row>
    <row r="21" spans="1:2">
      <c r="B21" s="9" t="s">
        <v>277</v>
      </c>
    </row>
    <row r="22" spans="1:2">
      <c r="A22" s="9" t="s">
        <v>278</v>
      </c>
    </row>
    <row r="23" spans="1:2">
      <c r="B23" s="9" t="s">
        <v>279</v>
      </c>
    </row>
    <row r="24" spans="1:2">
      <c r="B24" s="9" t="s">
        <v>280</v>
      </c>
    </row>
    <row r="25" spans="1:2">
      <c r="A25" s="9" t="s">
        <v>281</v>
      </c>
    </row>
    <row r="26" spans="1:2">
      <c r="B26" s="9" t="s">
        <v>282</v>
      </c>
    </row>
    <row r="27" spans="1:2">
      <c r="B27" s="9" t="s">
        <v>283</v>
      </c>
    </row>
    <row r="28" spans="1:2">
      <c r="B28" s="9" t="s">
        <v>284</v>
      </c>
    </row>
    <row r="29" spans="1:2">
      <c r="B29" s="9" t="s">
        <v>285</v>
      </c>
    </row>
    <row r="30" spans="1:2">
      <c r="B30" s="9" t="s">
        <v>286</v>
      </c>
    </row>
    <row r="31" spans="1:2">
      <c r="B31" s="9" t="s">
        <v>287</v>
      </c>
    </row>
    <row r="32" spans="1:2" ht="20.25">
      <c r="A32" s="12" t="s">
        <v>288</v>
      </c>
    </row>
    <row r="33" spans="1:2">
      <c r="A33" s="9" t="s">
        <v>289</v>
      </c>
    </row>
    <row r="34" spans="1:2">
      <c r="B34" s="9" t="s">
        <v>290</v>
      </c>
    </row>
    <row r="35" spans="1:2">
      <c r="B35" s="9" t="s">
        <v>291</v>
      </c>
    </row>
    <row r="36" spans="1:2">
      <c r="A36" s="9" t="s">
        <v>292</v>
      </c>
    </row>
    <row r="37" spans="1:2">
      <c r="B37" s="9" t="s">
        <v>293</v>
      </c>
    </row>
    <row r="38" spans="1:2">
      <c r="B38" s="9" t="s">
        <v>294</v>
      </c>
    </row>
    <row r="39" spans="1:2">
      <c r="A39" s="9" t="s">
        <v>295</v>
      </c>
    </row>
    <row r="40" spans="1:2">
      <c r="B40" s="9" t="s">
        <v>296</v>
      </c>
    </row>
    <row r="41" spans="1:2">
      <c r="B41" s="9" t="s">
        <v>297</v>
      </c>
    </row>
    <row r="42" spans="1:2">
      <c r="A42" s="9" t="s">
        <v>298</v>
      </c>
    </row>
    <row r="43" spans="1:2">
      <c r="B43" s="9" t="s">
        <v>299</v>
      </c>
    </row>
    <row r="44" spans="1:2">
      <c r="B44" s="9" t="s">
        <v>300</v>
      </c>
    </row>
    <row r="45" spans="1:2">
      <c r="A45" s="9" t="s">
        <v>301</v>
      </c>
    </row>
    <row r="46" spans="1:2">
      <c r="B46" s="9" t="s">
        <v>302</v>
      </c>
    </row>
    <row r="47" spans="1:2">
      <c r="B47" s="9" t="s">
        <v>303</v>
      </c>
    </row>
    <row r="48" spans="1:2">
      <c r="A48" s="9" t="s">
        <v>304</v>
      </c>
    </row>
    <row r="49" spans="1:2">
      <c r="B49" s="9" t="s">
        <v>305</v>
      </c>
    </row>
    <row r="50" spans="1:2">
      <c r="B50" s="9" t="s">
        <v>306</v>
      </c>
    </row>
    <row r="51" spans="1:2">
      <c r="A51" s="9" t="s">
        <v>307</v>
      </c>
    </row>
    <row r="52" spans="1:2">
      <c r="B52" s="9" t="s">
        <v>308</v>
      </c>
    </row>
    <row r="53" spans="1:2">
      <c r="B53" s="9" t="s">
        <v>309</v>
      </c>
    </row>
    <row r="54" spans="1:2">
      <c r="A54" s="9" t="s">
        <v>310</v>
      </c>
    </row>
    <row r="55" spans="1:2">
      <c r="B55" s="9" t="s">
        <v>311</v>
      </c>
    </row>
    <row r="56" spans="1:2">
      <c r="B56" s="9" t="s">
        <v>312</v>
      </c>
    </row>
    <row r="57" spans="1:2">
      <c r="A57" s="9" t="s">
        <v>313</v>
      </c>
    </row>
    <row r="58" spans="1:2">
      <c r="B58" s="9" t="s">
        <v>314</v>
      </c>
    </row>
    <row r="59" spans="1:2">
      <c r="B59" s="9" t="s">
        <v>315</v>
      </c>
    </row>
    <row r="60" spans="1:2">
      <c r="A60" s="9" t="s">
        <v>316</v>
      </c>
    </row>
    <row r="61" spans="1:2">
      <c r="B61" s="9" t="s">
        <v>317</v>
      </c>
    </row>
    <row r="62" spans="1:2">
      <c r="B62" s="9" t="s">
        <v>318</v>
      </c>
    </row>
    <row r="63" spans="1:2">
      <c r="A63" s="9" t="s">
        <v>319</v>
      </c>
    </row>
    <row r="64" spans="1:2">
      <c r="B64" s="9" t="s">
        <v>320</v>
      </c>
    </row>
    <row r="65" spans="1:2">
      <c r="B65" s="9" t="s">
        <v>321</v>
      </c>
    </row>
    <row r="66" spans="1:2">
      <c r="A66" s="9" t="s">
        <v>322</v>
      </c>
    </row>
    <row r="67" spans="1:2">
      <c r="B67" s="9" t="s">
        <v>323</v>
      </c>
    </row>
    <row r="68" spans="1:2">
      <c r="B68" s="9" t="s">
        <v>324</v>
      </c>
    </row>
    <row r="69" spans="1:2">
      <c r="A69" s="9" t="s">
        <v>325</v>
      </c>
    </row>
    <row r="70" spans="1:2">
      <c r="B70" s="9" t="s">
        <v>326</v>
      </c>
    </row>
    <row r="71" spans="1:2">
      <c r="B71" s="9" t="s">
        <v>327</v>
      </c>
    </row>
    <row r="72" spans="1:2">
      <c r="A72" s="9" t="s">
        <v>328</v>
      </c>
    </row>
    <row r="73" spans="1:2">
      <c r="B73" s="9" t="s">
        <v>329</v>
      </c>
    </row>
    <row r="74" spans="1:2">
      <c r="B74" s="9" t="s">
        <v>330</v>
      </c>
    </row>
    <row r="75" spans="1:2">
      <c r="A75" s="9" t="s">
        <v>331</v>
      </c>
    </row>
    <row r="76" spans="1:2">
      <c r="B76" s="9" t="s">
        <v>332</v>
      </c>
    </row>
    <row r="77" spans="1:2" ht="20.25">
      <c r="A77" s="12" t="s">
        <v>333</v>
      </c>
    </row>
    <row r="78" spans="1:2">
      <c r="A78" s="9" t="s">
        <v>334</v>
      </c>
    </row>
    <row r="79" spans="1:2">
      <c r="B79" s="9" t="s">
        <v>335</v>
      </c>
    </row>
    <row r="80" spans="1:2">
      <c r="B80" s="9" t="s">
        <v>336</v>
      </c>
    </row>
    <row r="81" spans="1:2">
      <c r="A81" s="9" t="s">
        <v>337</v>
      </c>
    </row>
    <row r="82" spans="1:2">
      <c r="B82" s="9" t="s">
        <v>338</v>
      </c>
    </row>
    <row r="83" spans="1:2">
      <c r="B83" s="9" t="s">
        <v>339</v>
      </c>
    </row>
    <row r="84" spans="1:2">
      <c r="A84" s="9" t="s">
        <v>340</v>
      </c>
    </row>
    <row r="85" spans="1:2" ht="20.25">
      <c r="A85" s="12" t="s">
        <v>341</v>
      </c>
    </row>
    <row r="86" spans="1:2">
      <c r="A86" s="9" t="s">
        <v>342</v>
      </c>
    </row>
    <row r="87" spans="1:2">
      <c r="B87" s="9" t="s">
        <v>343</v>
      </c>
    </row>
    <row r="88" spans="1:2">
      <c r="B88" s="9" t="s">
        <v>344</v>
      </c>
    </row>
    <row r="89" spans="1:2">
      <c r="A89" s="9" t="s">
        <v>345</v>
      </c>
    </row>
    <row r="90" spans="1:2" ht="20.25">
      <c r="A90" s="12" t="s">
        <v>346</v>
      </c>
    </row>
    <row r="91" spans="1:2">
      <c r="A91" s="9" t="s">
        <v>347</v>
      </c>
    </row>
    <row r="92" spans="1:2">
      <c r="B92" s="9" t="s">
        <v>348</v>
      </c>
    </row>
    <row r="93" spans="1:2">
      <c r="B93" s="9" t="s">
        <v>349</v>
      </c>
    </row>
    <row r="94" spans="1:2" ht="22.5">
      <c r="A94" s="10" t="s">
        <v>350</v>
      </c>
    </row>
    <row r="95" spans="1:2">
      <c r="A95" s="9" t="s">
        <v>351</v>
      </c>
    </row>
    <row r="96" spans="1:2">
      <c r="A96" s="9" t="s">
        <v>352</v>
      </c>
    </row>
    <row r="97" spans="1:1">
      <c r="A97" s="9" t="s">
        <v>353</v>
      </c>
    </row>
    <row r="98" spans="1:1">
      <c r="A98" s="9" t="s">
        <v>354</v>
      </c>
    </row>
    <row r="99" spans="1:1">
      <c r="A99" s="9" t="s">
        <v>355</v>
      </c>
    </row>
    <row r="100" spans="1:1">
      <c r="A100" s="9" t="s">
        <v>356</v>
      </c>
    </row>
    <row r="101" spans="1:1">
      <c r="A101" s="9" t="s">
        <v>357</v>
      </c>
    </row>
    <row r="102" spans="1:1" ht="17.25">
      <c r="A102"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D1C5-2AEC-4627-9AC2-385CD690CFE7}">
  <dimension ref="A1:B118"/>
  <sheetViews>
    <sheetView topLeftCell="A100" workbookViewId="0">
      <selection activeCell="A118" sqref="A118"/>
    </sheetView>
  </sheetViews>
  <sheetFormatPr defaultRowHeight="12.75"/>
  <cols>
    <col min="1" max="1" width="45.1640625" customWidth="1"/>
  </cols>
  <sheetData>
    <row r="1" spans="1:2">
      <c r="A1" s="9" t="s">
        <v>0</v>
      </c>
      <c r="B1" s="9" t="s">
        <v>358</v>
      </c>
    </row>
    <row r="2" spans="1:2">
      <c r="A2" t="s">
        <v>359</v>
      </c>
      <c r="B2" t="s">
        <v>360</v>
      </c>
    </row>
    <row r="3" spans="1:2">
      <c r="A3" t="s">
        <v>124</v>
      </c>
    </row>
    <row r="4" spans="1:2">
      <c r="A4" t="s">
        <v>139</v>
      </c>
    </row>
    <row r="5" spans="1:2">
      <c r="A5" t="s">
        <v>361</v>
      </c>
      <c r="B5" t="s">
        <v>362</v>
      </c>
    </row>
    <row r="6" spans="1:2">
      <c r="A6" t="s">
        <v>363</v>
      </c>
    </row>
    <row r="7" spans="1:2">
      <c r="A7" t="s">
        <v>136</v>
      </c>
    </row>
    <row r="8" spans="1:2">
      <c r="A8" t="s">
        <v>21</v>
      </c>
      <c r="B8" t="s">
        <v>364</v>
      </c>
    </row>
    <row r="9" spans="1:2">
      <c r="A9" t="s">
        <v>141</v>
      </c>
    </row>
    <row r="10" spans="1:2">
      <c r="A10" t="s">
        <v>365</v>
      </c>
    </row>
    <row r="11" spans="1:2">
      <c r="A11" t="s">
        <v>366</v>
      </c>
    </row>
    <row r="12" spans="1:2">
      <c r="A12" t="s">
        <v>144</v>
      </c>
    </row>
    <row r="13" spans="1:2">
      <c r="A13" t="s">
        <v>145</v>
      </c>
    </row>
    <row r="14" spans="1:2">
      <c r="A14" t="s">
        <v>367</v>
      </c>
    </row>
    <row r="15" spans="1:2">
      <c r="A15" t="s">
        <v>147</v>
      </c>
    </row>
    <row r="16" spans="1:2">
      <c r="A16" t="s">
        <v>148</v>
      </c>
    </row>
    <row r="17" spans="1:2">
      <c r="A17" t="s">
        <v>149</v>
      </c>
    </row>
    <row r="18" spans="1:2">
      <c r="A18" t="s">
        <v>368</v>
      </c>
    </row>
    <row r="19" spans="1:2">
      <c r="A19" t="s">
        <v>126</v>
      </c>
    </row>
    <row r="20" spans="1:2">
      <c r="A20" t="s">
        <v>86</v>
      </c>
    </row>
    <row r="21" spans="1:2">
      <c r="A21" t="s">
        <v>61</v>
      </c>
    </row>
    <row r="22" spans="1:2">
      <c r="A22" t="s">
        <v>369</v>
      </c>
    </row>
    <row r="23" spans="1:2">
      <c r="A23" t="s">
        <v>110</v>
      </c>
    </row>
    <row r="24" spans="1:2">
      <c r="A24" t="s">
        <v>370</v>
      </c>
    </row>
    <row r="25" spans="1:2">
      <c r="A25" t="s">
        <v>114</v>
      </c>
    </row>
    <row r="26" spans="1:2">
      <c r="A26" t="s">
        <v>371</v>
      </c>
    </row>
    <row r="27" spans="1:2">
      <c r="A27" t="s">
        <v>116</v>
      </c>
    </row>
    <row r="28" spans="1:2">
      <c r="A28" t="s">
        <v>63</v>
      </c>
    </row>
    <row r="29" spans="1:2">
      <c r="A29" t="s">
        <v>372</v>
      </c>
    </row>
    <row r="30" spans="1:2">
      <c r="A30" t="s">
        <v>50</v>
      </c>
      <c r="B30" t="s">
        <v>373</v>
      </c>
    </row>
    <row r="31" spans="1:2">
      <c r="A31" t="s">
        <v>15</v>
      </c>
      <c r="B31" t="s">
        <v>18</v>
      </c>
    </row>
    <row r="32" spans="1:2">
      <c r="A32" t="s">
        <v>374</v>
      </c>
      <c r="B32" t="s">
        <v>18</v>
      </c>
    </row>
    <row r="33" spans="1:2">
      <c r="A33" t="s">
        <v>153</v>
      </c>
    </row>
    <row r="34" spans="1:2">
      <c r="A34" t="s">
        <v>375</v>
      </c>
    </row>
    <row r="35" spans="1:2">
      <c r="A35" t="s">
        <v>89</v>
      </c>
    </row>
    <row r="36" spans="1:2">
      <c r="A36" t="s">
        <v>376</v>
      </c>
    </row>
    <row r="37" spans="1:2">
      <c r="A37" t="s">
        <v>377</v>
      </c>
    </row>
    <row r="38" spans="1:2">
      <c r="A38" t="s">
        <v>91</v>
      </c>
    </row>
    <row r="39" spans="1:2">
      <c r="A39" t="s">
        <v>92</v>
      </c>
    </row>
    <row r="40" spans="1:2">
      <c r="A40" t="s">
        <v>65</v>
      </c>
    </row>
    <row r="41" spans="1:2">
      <c r="A41" t="s">
        <v>378</v>
      </c>
    </row>
    <row r="42" spans="1:2">
      <c r="A42" t="s">
        <v>379</v>
      </c>
    </row>
    <row r="43" spans="1:2">
      <c r="A43" t="s">
        <v>70</v>
      </c>
    </row>
    <row r="44" spans="1:2">
      <c r="A44" t="s">
        <v>158</v>
      </c>
    </row>
    <row r="45" spans="1:2">
      <c r="A45" t="s">
        <v>72</v>
      </c>
    </row>
    <row r="46" spans="1:2">
      <c r="A46" t="s">
        <v>159</v>
      </c>
    </row>
    <row r="47" spans="1:2">
      <c r="A47" t="s">
        <v>48</v>
      </c>
      <c r="B47" t="s">
        <v>380</v>
      </c>
    </row>
    <row r="48" spans="1:2">
      <c r="A48" t="s">
        <v>160</v>
      </c>
    </row>
    <row r="49" spans="1:2">
      <c r="A49" t="s">
        <v>381</v>
      </c>
    </row>
    <row r="50" spans="1:2">
      <c r="A50" t="s">
        <v>382</v>
      </c>
    </row>
    <row r="51" spans="1:2">
      <c r="A51" t="s">
        <v>132</v>
      </c>
    </row>
    <row r="52" spans="1:2">
      <c r="A52" t="s">
        <v>37</v>
      </c>
      <c r="B52" t="s">
        <v>383</v>
      </c>
    </row>
    <row r="53" spans="1:2">
      <c r="A53" t="s">
        <v>384</v>
      </c>
    </row>
    <row r="54" spans="1:2">
      <c r="A54" t="s">
        <v>130</v>
      </c>
    </row>
    <row r="55" spans="1:2">
      <c r="A55" t="s">
        <v>385</v>
      </c>
    </row>
    <row r="56" spans="1:2">
      <c r="A56" t="s">
        <v>386</v>
      </c>
    </row>
    <row r="57" spans="1:2">
      <c r="A57" t="s">
        <v>387</v>
      </c>
    </row>
    <row r="58" spans="1:2">
      <c r="A58" t="s">
        <v>388</v>
      </c>
    </row>
    <row r="59" spans="1:2">
      <c r="A59" t="s">
        <v>389</v>
      </c>
    </row>
    <row r="60" spans="1:2">
      <c r="A60" t="s">
        <v>390</v>
      </c>
    </row>
    <row r="61" spans="1:2">
      <c r="A61" t="s">
        <v>391</v>
      </c>
    </row>
    <row r="62" spans="1:2">
      <c r="A62" t="s">
        <v>56</v>
      </c>
      <c r="B62" t="s">
        <v>392</v>
      </c>
    </row>
    <row r="63" spans="1:2">
      <c r="A63" t="s">
        <v>30</v>
      </c>
      <c r="B63" t="s">
        <v>32</v>
      </c>
    </row>
    <row r="64" spans="1:2">
      <c r="A64" t="s">
        <v>76</v>
      </c>
      <c r="B64" t="s">
        <v>393</v>
      </c>
    </row>
    <row r="65" spans="1:2">
      <c r="A65" t="s">
        <v>394</v>
      </c>
    </row>
    <row r="66" spans="1:2">
      <c r="A66" t="s">
        <v>77</v>
      </c>
    </row>
    <row r="67" spans="1:2">
      <c r="A67" t="s">
        <v>95</v>
      </c>
    </row>
    <row r="68" spans="1:2">
      <c r="A68" t="s">
        <v>8</v>
      </c>
      <c r="B68" t="s">
        <v>14</v>
      </c>
    </row>
    <row r="69" spans="1:2">
      <c r="A69" t="s">
        <v>166</v>
      </c>
    </row>
    <row r="70" spans="1:2">
      <c r="A70" t="s">
        <v>167</v>
      </c>
    </row>
    <row r="71" spans="1:2">
      <c r="A71" t="s">
        <v>395</v>
      </c>
    </row>
    <row r="72" spans="1:2">
      <c r="A72" t="s">
        <v>169</v>
      </c>
    </row>
    <row r="73" spans="1:2">
      <c r="A73" t="s">
        <v>170</v>
      </c>
    </row>
    <row r="74" spans="1:2">
      <c r="A74" t="s">
        <v>396</v>
      </c>
    </row>
    <row r="75" spans="1:2">
      <c r="A75" t="s">
        <v>397</v>
      </c>
    </row>
    <row r="76" spans="1:2">
      <c r="A76" s="14" t="s">
        <v>398</v>
      </c>
    </row>
    <row r="77" spans="1:2">
      <c r="A77" t="s">
        <v>399</v>
      </c>
    </row>
    <row r="78" spans="1:2">
      <c r="A78" t="s">
        <v>400</v>
      </c>
    </row>
    <row r="79" spans="1:2">
      <c r="A79" s="14" t="s">
        <v>401</v>
      </c>
    </row>
    <row r="80" spans="1:2">
      <c r="B80" t="s">
        <v>29</v>
      </c>
    </row>
    <row r="81" spans="1:2">
      <c r="A81" t="s">
        <v>402</v>
      </c>
    </row>
    <row r="82" spans="1:2">
      <c r="A82" t="s">
        <v>403</v>
      </c>
    </row>
    <row r="83" spans="1:2">
      <c r="A83" t="s">
        <v>404</v>
      </c>
    </row>
    <row r="84" spans="1:2">
      <c r="A84" s="14" t="s">
        <v>405</v>
      </c>
    </row>
    <row r="85" spans="1:2">
      <c r="A85" s="14" t="s">
        <v>406</v>
      </c>
    </row>
    <row r="86" spans="1:2">
      <c r="A86" s="14" t="s">
        <v>407</v>
      </c>
      <c r="B86" t="s">
        <v>36</v>
      </c>
    </row>
    <row r="87" spans="1:2">
      <c r="A87" t="s">
        <v>78</v>
      </c>
    </row>
    <row r="88" spans="1:2">
      <c r="A88" t="s">
        <v>101</v>
      </c>
    </row>
    <row r="89" spans="1:2">
      <c r="A89" t="s">
        <v>105</v>
      </c>
    </row>
    <row r="90" spans="1:2">
      <c r="A90" t="s">
        <v>171</v>
      </c>
      <c r="B90" t="s">
        <v>408</v>
      </c>
    </row>
    <row r="91" spans="1:2">
      <c r="A91" t="s">
        <v>409</v>
      </c>
    </row>
    <row r="92" spans="1:2">
      <c r="A92" t="s">
        <v>410</v>
      </c>
    </row>
    <row r="93" spans="1:2">
      <c r="A93" t="s">
        <v>411</v>
      </c>
    </row>
    <row r="94" spans="1:2">
      <c r="A94" t="s">
        <v>412</v>
      </c>
      <c r="B94" t="s">
        <v>413</v>
      </c>
    </row>
    <row r="95" spans="1:2">
      <c r="A95" t="s">
        <v>80</v>
      </c>
      <c r="B95" t="s">
        <v>414</v>
      </c>
    </row>
    <row r="96" spans="1:2">
      <c r="A96" t="s">
        <v>33</v>
      </c>
      <c r="B96" t="s">
        <v>415</v>
      </c>
    </row>
    <row r="97" spans="1:2">
      <c r="A97" t="s">
        <v>416</v>
      </c>
    </row>
    <row r="98" spans="1:2">
      <c r="A98" t="s">
        <v>417</v>
      </c>
      <c r="B98" t="s">
        <v>393</v>
      </c>
    </row>
    <row r="99" spans="1:2">
      <c r="A99" t="s">
        <v>172</v>
      </c>
    </row>
    <row r="100" spans="1:2">
      <c r="A100" t="s">
        <v>82</v>
      </c>
    </row>
    <row r="101" spans="1:2">
      <c r="A101" t="s">
        <v>83</v>
      </c>
    </row>
    <row r="102" spans="1:2">
      <c r="A102" t="s">
        <v>173</v>
      </c>
    </row>
    <row r="103" spans="1:2">
      <c r="A103" t="s">
        <v>174</v>
      </c>
    </row>
    <row r="104" spans="1:2">
      <c r="A104" t="s">
        <v>418</v>
      </c>
      <c r="B104" t="s">
        <v>45</v>
      </c>
    </row>
    <row r="105" spans="1:2">
      <c r="A105" t="s">
        <v>419</v>
      </c>
    </row>
    <row r="106" spans="1:2">
      <c r="A106" t="s">
        <v>420</v>
      </c>
    </row>
    <row r="107" spans="1:2">
      <c r="A107" t="s">
        <v>421</v>
      </c>
    </row>
    <row r="108" spans="1:2">
      <c r="A108" t="s">
        <v>84</v>
      </c>
    </row>
    <row r="109" spans="1:2">
      <c r="A109" t="s">
        <v>119</v>
      </c>
    </row>
    <row r="110" spans="1:2">
      <c r="A110" t="s">
        <v>422</v>
      </c>
    </row>
    <row r="111" spans="1:2">
      <c r="A111" t="s">
        <v>423</v>
      </c>
    </row>
    <row r="112" spans="1:2">
      <c r="A112" t="s">
        <v>236</v>
      </c>
    </row>
    <row r="113" spans="1:2">
      <c r="A113" t="s">
        <v>237</v>
      </c>
    </row>
    <row r="114" spans="1:2">
      <c r="A114" t="s">
        <v>121</v>
      </c>
      <c r="B114" t="s">
        <v>424</v>
      </c>
    </row>
    <row r="115" spans="1:2">
      <c r="A115" t="s">
        <v>238</v>
      </c>
      <c r="B115" t="s">
        <v>425</v>
      </c>
    </row>
    <row r="116" spans="1:2">
      <c r="A116" t="s">
        <v>239</v>
      </c>
    </row>
    <row r="117" spans="1:2">
      <c r="A117" t="s">
        <v>240</v>
      </c>
    </row>
    <row r="118" spans="1:2">
      <c r="A118"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3822A18D64B154FBD180ED52096B05B" ma:contentTypeVersion="15" ma:contentTypeDescription="Create a new document." ma:contentTypeScope="" ma:versionID="4f90145b3582571cd9b1771d305eecd8">
  <xsd:schema xmlns:xsd="http://www.w3.org/2001/XMLSchema" xmlns:xs="http://www.w3.org/2001/XMLSchema" xmlns:p="http://schemas.microsoft.com/office/2006/metadata/properties" xmlns:ns2="53511b3e-b142-4e0a-bf02-1c8b4268f488" xmlns:ns3="a99aed6b-ae81-484c-93d5-16606143994d" targetNamespace="http://schemas.microsoft.com/office/2006/metadata/properties" ma:root="true" ma:fieldsID="80882550998e0e2de28fc218fd222c34" ns2:_="" ns3:_="">
    <xsd:import namespace="53511b3e-b142-4e0a-bf02-1c8b4268f488"/>
    <xsd:import namespace="a99aed6b-ae81-484c-93d5-16606143994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511b3e-b142-4e0a-bf02-1c8b4268f4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d4df7da-c195-4679-b09b-159ed35ba17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99aed6b-ae81-484c-93d5-16606143994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27cc49e-d57a-4197-bd20-859baf69c79c}" ma:internalName="TaxCatchAll" ma:showField="CatchAllData" ma:web="a99aed6b-ae81-484c-93d5-1660614399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99aed6b-ae81-484c-93d5-16606143994d" xsi:nil="true"/>
    <lcf76f155ced4ddcb4097134ff3c332f xmlns="53511b3e-b142-4e0a-bf02-1c8b4268f4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B71A76-F17D-4E54-ACCC-87EFE20E881A}"/>
</file>

<file path=customXml/itemProps2.xml><?xml version="1.0" encoding="utf-8"?>
<ds:datastoreItem xmlns:ds="http://schemas.openxmlformats.org/officeDocument/2006/customXml" ds:itemID="{35AB01B4-26F4-470D-AD20-01E0467D7391}"/>
</file>

<file path=customXml/itemProps3.xml><?xml version="1.0" encoding="utf-8"?>
<ds:datastoreItem xmlns:ds="http://schemas.openxmlformats.org/officeDocument/2006/customXml" ds:itemID="{347F4EAB-86CF-43F2-A366-B090D71F68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 Bid ACE Evaluation Form</dc:title>
  <dc:subject/>
  <dc:creator/>
  <cp:keywords/>
  <dc:description/>
  <cp:lastModifiedBy/>
  <cp:revision/>
  <dcterms:created xsi:type="dcterms:W3CDTF">2025-03-12T16:49:08Z</dcterms:created>
  <dcterms:modified xsi:type="dcterms:W3CDTF">2025-11-21T14:44:15Z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0x01010093822A18D64B154FBD180ED52096B05B</vt:lpwstr>
  </property>
  <property fmtid="{D5CDD505-2E9C-101B-9397-08002B2CF9AE}" pid="3" name="MediaServiceImageTags">
    <vt:lpwstr/>
  </property>
</Properties>
</file>